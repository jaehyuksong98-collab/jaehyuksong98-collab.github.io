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edward/Desktop/Clarkson_data/Output/Financial modeling/Final/"/>
    </mc:Choice>
  </mc:AlternateContent>
  <xr:revisionPtr revIDLastSave="0" documentId="11_4B22980DEC57AB567C05550C1EDCA326B010CD4D" xr6:coauthVersionLast="47" xr6:coauthVersionMax="47" xr10:uidLastSave="{00000000-0000-0000-0000-000000000000}"/>
  <bookViews>
    <workbookView xWindow="0" yWindow="660" windowWidth="34560" windowHeight="21680" tabRatio="500" activeTab="4" xr2:uid="{00000000-000D-0000-FFFF-FFFF00000000}"/>
  </bookViews>
  <sheets>
    <sheet name="Summary" sheetId="1" r:id="rId1"/>
    <sheet name="Base Case" sheetId="2" r:id="rId2"/>
    <sheet name="Bull Case" sheetId="3" r:id="rId3"/>
    <sheet name="Bear Case" sheetId="4" r:id="rId4"/>
    <sheet name="Scenario Charts"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3" i="4" l="1"/>
  <c r="E112" i="4"/>
  <c r="E114" i="4" s="1"/>
  <c r="E107" i="4"/>
  <c r="E108" i="4" s="1"/>
  <c r="E104" i="4"/>
  <c r="E103" i="4"/>
  <c r="E102" i="4"/>
  <c r="D38" i="4" s="1"/>
  <c r="E101" i="4"/>
  <c r="E100" i="4"/>
  <c r="E99" i="4"/>
  <c r="E98" i="4"/>
  <c r="C94" i="4"/>
  <c r="C93" i="4"/>
  <c r="D68" i="4"/>
  <c r="D65" i="4"/>
  <c r="D61" i="4"/>
  <c r="C56" i="4"/>
  <c r="B56" i="4"/>
  <c r="G55" i="4"/>
  <c r="I55" i="4" s="1"/>
  <c r="J55" i="4" s="1"/>
  <c r="D47" i="1" s="1"/>
  <c r="F55" i="4"/>
  <c r="H55" i="4" s="1"/>
  <c r="D45" i="1" s="1"/>
  <c r="F54" i="4"/>
  <c r="H54" i="4" s="1"/>
  <c r="D42" i="1" s="1"/>
  <c r="G53" i="4"/>
  <c r="I53" i="4" s="1"/>
  <c r="F53" i="4"/>
  <c r="H53" i="4" s="1"/>
  <c r="D39" i="1" s="1"/>
  <c r="F52" i="4"/>
  <c r="H52" i="4" s="1"/>
  <c r="C29" i="4"/>
  <c r="D27" i="4"/>
  <c r="C23" i="4"/>
  <c r="C24" i="4" s="1"/>
  <c r="B21" i="4"/>
  <c r="D21" i="4" s="1"/>
  <c r="C20" i="4"/>
  <c r="B20" i="4" s="1"/>
  <c r="D20" i="4" s="1"/>
  <c r="C16" i="4"/>
  <c r="C12" i="4"/>
  <c r="C14" i="4" s="1"/>
  <c r="D11" i="4"/>
  <c r="E11" i="4" s="1"/>
  <c r="C10" i="4"/>
  <c r="E113" i="3"/>
  <c r="E112" i="3"/>
  <c r="E114" i="3" s="1"/>
  <c r="E104" i="3"/>
  <c r="E103" i="3"/>
  <c r="E102" i="3"/>
  <c r="E101" i="3"/>
  <c r="E100" i="3"/>
  <c r="E99" i="3"/>
  <c r="E107" i="3" s="1"/>
  <c r="E98" i="3"/>
  <c r="C94" i="3"/>
  <c r="C93" i="3"/>
  <c r="C81" i="3"/>
  <c r="C80" i="3"/>
  <c r="C84" i="3" s="1"/>
  <c r="C79" i="3"/>
  <c r="C78" i="3"/>
  <c r="C82" i="3" s="1"/>
  <c r="C83" i="3" s="1"/>
  <c r="C85" i="3" s="1"/>
  <c r="B69" i="3"/>
  <c r="D68" i="3"/>
  <c r="D70" i="3" s="1"/>
  <c r="C52" i="1" s="1"/>
  <c r="D65" i="3"/>
  <c r="D61" i="3"/>
  <c r="C70" i="1" s="1"/>
  <c r="D70" i="1" s="1"/>
  <c r="C56" i="3"/>
  <c r="B56" i="3"/>
  <c r="F55" i="3"/>
  <c r="H55" i="3" s="1"/>
  <c r="C45" i="1" s="1"/>
  <c r="F54" i="3"/>
  <c r="H54" i="3" s="1"/>
  <c r="F53" i="3"/>
  <c r="H53" i="3" s="1"/>
  <c r="C39" i="1" s="1"/>
  <c r="D38" i="3"/>
  <c r="C29" i="3"/>
  <c r="D27" i="3"/>
  <c r="C24" i="3"/>
  <c r="C23" i="3"/>
  <c r="D21" i="3"/>
  <c r="B21" i="3"/>
  <c r="C20" i="3"/>
  <c r="B20" i="3"/>
  <c r="D20" i="3" s="1"/>
  <c r="C16" i="3"/>
  <c r="C12" i="3"/>
  <c r="E11" i="3"/>
  <c r="D11" i="3"/>
  <c r="C10" i="3"/>
  <c r="F120" i="2"/>
  <c r="E120" i="2"/>
  <c r="E113" i="2"/>
  <c r="E112" i="2"/>
  <c r="E114" i="2" s="1"/>
  <c r="E107" i="2"/>
  <c r="E104" i="2"/>
  <c r="E103" i="2"/>
  <c r="E102" i="2"/>
  <c r="E101" i="2"/>
  <c r="E100" i="2"/>
  <c r="E99" i="2"/>
  <c r="E98" i="2"/>
  <c r="C94" i="2"/>
  <c r="C93" i="2"/>
  <c r="C81" i="2"/>
  <c r="C80" i="2"/>
  <c r="C84" i="2" s="1"/>
  <c r="C86" i="2" s="1"/>
  <c r="C87" i="2" s="1"/>
  <c r="D52" i="2" s="1"/>
  <c r="F52" i="2" s="1"/>
  <c r="C79" i="2"/>
  <c r="C78" i="2"/>
  <c r="C82" i="2" s="1"/>
  <c r="C83" i="2" s="1"/>
  <c r="C85" i="2" s="1"/>
  <c r="D68" i="2"/>
  <c r="B69" i="2" s="1"/>
  <c r="D70" i="2" s="1"/>
  <c r="B52" i="1" s="1"/>
  <c r="D65" i="2"/>
  <c r="B71" i="1" s="1"/>
  <c r="D71" i="1" s="1"/>
  <c r="D61" i="2"/>
  <c r="C56" i="2"/>
  <c r="B56" i="2"/>
  <c r="F55" i="2"/>
  <c r="H55" i="2" s="1"/>
  <c r="B45" i="1" s="1"/>
  <c r="H54" i="2"/>
  <c r="B42" i="1" s="1"/>
  <c r="G54" i="2"/>
  <c r="I54" i="2" s="1"/>
  <c r="F54" i="2"/>
  <c r="F53" i="2"/>
  <c r="H53" i="2" s="1"/>
  <c r="B39" i="1" s="1"/>
  <c r="D38" i="2"/>
  <c r="C29" i="2"/>
  <c r="D27" i="2"/>
  <c r="C23" i="2"/>
  <c r="C24" i="2" s="1"/>
  <c r="B21" i="2"/>
  <c r="D21" i="2" s="1"/>
  <c r="C20" i="2"/>
  <c r="B20" i="2" s="1"/>
  <c r="D20" i="2" s="1"/>
  <c r="C16" i="2"/>
  <c r="C12" i="2"/>
  <c r="C14" i="2" s="1"/>
  <c r="D11" i="2"/>
  <c r="E11" i="2" s="1"/>
  <c r="C10" i="2"/>
  <c r="C71" i="1"/>
  <c r="B70" i="1"/>
  <c r="F56" i="1"/>
  <c r="E56" i="1"/>
  <c r="D56" i="1"/>
  <c r="C56" i="1"/>
  <c r="B56" i="1"/>
  <c r="D51" i="1"/>
  <c r="B51" i="1"/>
  <c r="C42" i="1"/>
  <c r="D40" i="1"/>
  <c r="D36" i="1"/>
  <c r="D11" i="1"/>
  <c r="B11" i="1"/>
  <c r="G52" i="2" l="1"/>
  <c r="I52" i="2" s="1"/>
  <c r="H52" i="2"/>
  <c r="B10" i="1"/>
  <c r="E115" i="3"/>
  <c r="B34" i="3" s="1"/>
  <c r="E108" i="3"/>
  <c r="C15" i="4"/>
  <c r="D10" i="1"/>
  <c r="B68" i="1"/>
  <c r="J54" i="2"/>
  <c r="B44" i="1" s="1"/>
  <c r="B43" i="1"/>
  <c r="C86" i="3"/>
  <c r="C87" i="3" s="1"/>
  <c r="D52" i="3" s="1"/>
  <c r="F52" i="3" s="1"/>
  <c r="C10" i="1"/>
  <c r="E10" i="1" s="1"/>
  <c r="H56" i="4"/>
  <c r="D70" i="4"/>
  <c r="D52" i="1" s="1"/>
  <c r="E115" i="2"/>
  <c r="B34" i="2" s="1"/>
  <c r="E108" i="2"/>
  <c r="C14" i="3"/>
  <c r="C15" i="3"/>
  <c r="D120" i="2"/>
  <c r="C120" i="2"/>
  <c r="B120" i="2"/>
  <c r="D46" i="1"/>
  <c r="J53" i="4"/>
  <c r="D41" i="1" s="1"/>
  <c r="G54" i="3"/>
  <c r="I54" i="3" s="1"/>
  <c r="E115" i="4"/>
  <c r="B34" i="4" s="1"/>
  <c r="C11" i="1"/>
  <c r="E11" i="1" s="1"/>
  <c r="C15" i="2"/>
  <c r="B69" i="4"/>
  <c r="G52" i="4"/>
  <c r="I52" i="4" s="1"/>
  <c r="G54" i="4"/>
  <c r="I54" i="4" s="1"/>
  <c r="G53" i="3"/>
  <c r="I53" i="3" s="1"/>
  <c r="G55" i="3"/>
  <c r="I55" i="3" s="1"/>
  <c r="C51" i="1"/>
  <c r="G53" i="2"/>
  <c r="I53" i="2" s="1"/>
  <c r="G55" i="2"/>
  <c r="I55" i="2" s="1"/>
  <c r="H52" i="3" l="1"/>
  <c r="G52" i="3"/>
  <c r="I52" i="3" s="1"/>
  <c r="J53" i="3"/>
  <c r="C41" i="1" s="1"/>
  <c r="C67" i="1"/>
  <c r="C40" i="1"/>
  <c r="J54" i="4"/>
  <c r="D44" i="1" s="1"/>
  <c r="D43" i="1"/>
  <c r="D48" i="1"/>
  <c r="D6" i="4"/>
  <c r="D37" i="1"/>
  <c r="J52" i="4"/>
  <c r="D38" i="1" s="1"/>
  <c r="I56" i="4"/>
  <c r="J55" i="3"/>
  <c r="C47" i="1" s="1"/>
  <c r="C46" i="1"/>
  <c r="C69" i="1"/>
  <c r="J55" i="2"/>
  <c r="B47" i="1" s="1"/>
  <c r="B46" i="1"/>
  <c r="B69" i="1"/>
  <c r="B67" i="1"/>
  <c r="J53" i="2"/>
  <c r="B41" i="1" s="1"/>
  <c r="B40" i="1"/>
  <c r="B36" i="1"/>
  <c r="H56" i="2"/>
  <c r="J52" i="2"/>
  <c r="B38" i="1" s="1"/>
  <c r="I56" i="2"/>
  <c r="B66" i="1"/>
  <c r="B37" i="1"/>
  <c r="C68" i="1"/>
  <c r="D68" i="1" s="1"/>
  <c r="C43" i="1"/>
  <c r="J54" i="3"/>
  <c r="C44" i="1" s="1"/>
  <c r="E6" i="4" l="1"/>
  <c r="D35" i="4"/>
  <c r="D28" i="4"/>
  <c r="D12" i="1" s="1"/>
  <c r="B7" i="4"/>
  <c r="D67" i="1"/>
  <c r="C66" i="1"/>
  <c r="J52" i="3"/>
  <c r="C38" i="1" s="1"/>
  <c r="C37" i="1"/>
  <c r="I56" i="3"/>
  <c r="J56" i="2"/>
  <c r="B50" i="1" s="1"/>
  <c r="D63" i="2"/>
  <c r="D64" i="2" s="1"/>
  <c r="B49" i="1"/>
  <c r="D69" i="1"/>
  <c r="D6" i="2"/>
  <c r="B48" i="1"/>
  <c r="J56" i="4"/>
  <c r="D50" i="1" s="1"/>
  <c r="D49" i="1"/>
  <c r="D63" i="4"/>
  <c r="D64" i="4" s="1"/>
  <c r="D71" i="4" s="1"/>
  <c r="H56" i="3"/>
  <c r="C36" i="1"/>
  <c r="F121" i="2" l="1"/>
  <c r="F122" i="2" s="1"/>
  <c r="F129" i="2" s="1"/>
  <c r="D28" i="2"/>
  <c r="B12" i="1" s="1"/>
  <c r="E6" i="2"/>
  <c r="E121" i="2"/>
  <c r="E122" i="2" s="1"/>
  <c r="E129" i="2" s="1"/>
  <c r="D121" i="2"/>
  <c r="D122" i="2" s="1"/>
  <c r="D129" i="2" s="1"/>
  <c r="B7" i="2"/>
  <c r="B121" i="2"/>
  <c r="B122" i="2" s="1"/>
  <c r="B129" i="2" s="1"/>
  <c r="C121" i="2"/>
  <c r="C122" i="2" s="1"/>
  <c r="C129" i="2" s="1"/>
  <c r="D35" i="2"/>
  <c r="D9" i="4"/>
  <c r="D53" i="1"/>
  <c r="D66" i="1"/>
  <c r="B72" i="1"/>
  <c r="B73" i="1" s="1"/>
  <c r="D71" i="2"/>
  <c r="C48" i="1"/>
  <c r="D6" i="3"/>
  <c r="D63" i="3"/>
  <c r="D64" i="3" s="1"/>
  <c r="C49" i="1"/>
  <c r="J56" i="3"/>
  <c r="C50" i="1" s="1"/>
  <c r="D5" i="1"/>
  <c r="B8" i="5" s="1"/>
  <c r="D22" i="4"/>
  <c r="B7" i="3" l="1"/>
  <c r="D28" i="3"/>
  <c r="C12" i="1" s="1"/>
  <c r="E12" i="1" s="1"/>
  <c r="D35" i="3"/>
  <c r="E6" i="3"/>
  <c r="D16" i="4"/>
  <c r="D34" i="4"/>
  <c r="D40" i="4" s="1"/>
  <c r="D13" i="1" s="1"/>
  <c r="D10" i="4"/>
  <c r="E9" i="4"/>
  <c r="B8" i="4"/>
  <c r="D12" i="4"/>
  <c r="F123" i="2"/>
  <c r="D9" i="2"/>
  <c r="B123" i="2"/>
  <c r="E123" i="2"/>
  <c r="D123" i="2"/>
  <c r="C123" i="2"/>
  <c r="B53" i="1"/>
  <c r="B74" i="1" s="1"/>
  <c r="B136" i="2"/>
  <c r="D29" i="4"/>
  <c r="D23" i="4"/>
  <c r="D24" i="4" s="1"/>
  <c r="B5" i="1"/>
  <c r="B6" i="5" s="1"/>
  <c r="D22" i="2"/>
  <c r="C72" i="1"/>
  <c r="D71" i="3"/>
  <c r="D14" i="4" l="1"/>
  <c r="E14" i="4" s="1"/>
  <c r="E12" i="4"/>
  <c r="E15" i="4" s="1"/>
  <c r="D8" i="1" s="1"/>
  <c r="F8" i="5" s="1"/>
  <c r="C125" i="2"/>
  <c r="C57" i="1"/>
  <c r="C130" i="2"/>
  <c r="C131" i="2" s="1"/>
  <c r="C128" i="2"/>
  <c r="C132" i="2" s="1"/>
  <c r="C133" i="2" s="1"/>
  <c r="C134" i="2" s="1"/>
  <c r="C124" i="2"/>
  <c r="C58" i="1" s="1"/>
  <c r="D9" i="3"/>
  <c r="C53" i="1"/>
  <c r="B125" i="2"/>
  <c r="B137" i="2"/>
  <c r="B61" i="1" s="1"/>
  <c r="B130" i="2"/>
  <c r="B131" i="2" s="1"/>
  <c r="B128" i="2"/>
  <c r="B132" i="2" s="1"/>
  <c r="B133" i="2" s="1"/>
  <c r="B134" i="2" s="1"/>
  <c r="B124" i="2"/>
  <c r="B58" i="1" s="1"/>
  <c r="B57" i="1"/>
  <c r="C5" i="1"/>
  <c r="D22" i="3"/>
  <c r="D29" i="2"/>
  <c r="D23" i="2"/>
  <c r="D24" i="2" s="1"/>
  <c r="E10" i="4"/>
  <c r="D7" i="1" s="1"/>
  <c r="B14" i="5" s="1"/>
  <c r="E16" i="4"/>
  <c r="D6" i="1"/>
  <c r="E8" i="5" s="1"/>
  <c r="D125" i="2"/>
  <c r="D130" i="2"/>
  <c r="D131" i="2" s="1"/>
  <c r="D128" i="2"/>
  <c r="D132" i="2" s="1"/>
  <c r="D124" i="2"/>
  <c r="D58" i="1" s="1"/>
  <c r="D57" i="1"/>
  <c r="E125" i="2"/>
  <c r="E124" i="2"/>
  <c r="E58" i="1" s="1"/>
  <c r="E57" i="1"/>
  <c r="E130" i="2"/>
  <c r="E131" i="2" s="1"/>
  <c r="E128" i="2"/>
  <c r="E132" i="2" s="1"/>
  <c r="E133" i="2" s="1"/>
  <c r="E134" i="2" s="1"/>
  <c r="D72" i="1"/>
  <c r="C73" i="1"/>
  <c r="D16" i="2"/>
  <c r="B8" i="2"/>
  <c r="D12" i="2"/>
  <c r="D10" i="2"/>
  <c r="E9" i="2"/>
  <c r="D34" i="2"/>
  <c r="D40" i="2" s="1"/>
  <c r="B13" i="1" s="1"/>
  <c r="F125" i="2"/>
  <c r="F124" i="2"/>
  <c r="F58" i="1" s="1"/>
  <c r="F57" i="1"/>
  <c r="F130" i="2"/>
  <c r="F131" i="2" s="1"/>
  <c r="F128" i="2"/>
  <c r="F132" i="2" s="1"/>
  <c r="F133" i="2" s="1"/>
  <c r="F134" i="2" s="1"/>
  <c r="E127" i="2" l="1"/>
  <c r="E135" i="2" s="1"/>
  <c r="E60" i="1" s="1"/>
  <c r="E126" i="2"/>
  <c r="E59" i="1"/>
  <c r="D12" i="3"/>
  <c r="E9" i="3"/>
  <c r="B8" i="3"/>
  <c r="D34" i="3"/>
  <c r="D40" i="3" s="1"/>
  <c r="C13" i="1" s="1"/>
  <c r="E13" i="1" s="1"/>
  <c r="D10" i="3"/>
  <c r="D16" i="3"/>
  <c r="B7" i="5"/>
  <c r="E5" i="1"/>
  <c r="D14" i="2"/>
  <c r="E14" i="2" s="1"/>
  <c r="D15" i="2"/>
  <c r="D42" i="2" s="1"/>
  <c r="D44" i="2" s="1"/>
  <c r="D46" i="2" s="1"/>
  <c r="B14" i="1" s="1"/>
  <c r="E12" i="2"/>
  <c r="E15" i="2" s="1"/>
  <c r="B8" i="1" s="1"/>
  <c r="F6" i="5" s="1"/>
  <c r="C74" i="1"/>
  <c r="C127" i="2"/>
  <c r="C135" i="2" s="1"/>
  <c r="C60" i="1" s="1"/>
  <c r="C59" i="1"/>
  <c r="C126" i="2"/>
  <c r="E16" i="2"/>
  <c r="B6" i="1"/>
  <c r="E6" i="5" s="1"/>
  <c r="E10" i="2"/>
  <c r="B7" i="1" s="1"/>
  <c r="B12" i="5" s="1"/>
  <c r="D23" i="3"/>
  <c r="D24" i="3" s="1"/>
  <c r="D29" i="3"/>
  <c r="D133" i="2"/>
  <c r="D134" i="2" s="1"/>
  <c r="D9" i="1"/>
  <c r="G8" i="5" s="1"/>
  <c r="D73" i="1"/>
  <c r="D127" i="2"/>
  <c r="D135" i="2" s="1"/>
  <c r="D60" i="1" s="1"/>
  <c r="D126" i="2"/>
  <c r="D59" i="1"/>
  <c r="F127" i="2"/>
  <c r="F135" i="2" s="1"/>
  <c r="F60" i="1" s="1"/>
  <c r="F59" i="1"/>
  <c r="F126" i="2"/>
  <c r="B127" i="2"/>
  <c r="B135" i="2" s="1"/>
  <c r="B60" i="1" s="1"/>
  <c r="B126" i="2"/>
  <c r="B59" i="1"/>
  <c r="D15" i="4"/>
  <c r="D42" i="4" s="1"/>
  <c r="D44" i="4" s="1"/>
  <c r="D46" i="4" s="1"/>
  <c r="D14" i="1" s="1"/>
  <c r="D47" i="2" l="1"/>
  <c r="B9" i="1"/>
  <c r="G6" i="5" s="1"/>
  <c r="E71" i="1"/>
  <c r="E70" i="1"/>
  <c r="E68" i="1"/>
  <c r="E67" i="1"/>
  <c r="E69" i="1"/>
  <c r="E66" i="1"/>
  <c r="E72" i="1"/>
  <c r="D47" i="4"/>
  <c r="D15" i="1" s="1"/>
  <c r="C14" i="5" s="1"/>
  <c r="E16" i="3"/>
  <c r="C6" i="1"/>
  <c r="E10" i="3"/>
  <c r="C7" i="1" s="1"/>
  <c r="D14" i="3"/>
  <c r="E14" i="3" s="1"/>
  <c r="D15" i="3"/>
  <c r="D42" i="3" s="1"/>
  <c r="D44" i="3" s="1"/>
  <c r="D46" i="3" s="1"/>
  <c r="C14" i="1" s="1"/>
  <c r="E14" i="1" s="1"/>
  <c r="E12" i="3"/>
  <c r="E15" i="3" s="1"/>
  <c r="C8" i="1" s="1"/>
  <c r="F7" i="5" l="1"/>
  <c r="E8" i="1"/>
  <c r="E73" i="1"/>
  <c r="E7" i="1"/>
  <c r="B13" i="5"/>
  <c r="E7" i="5"/>
  <c r="E6" i="1"/>
  <c r="D47" i="3"/>
  <c r="C15" i="1" s="1"/>
  <c r="C9" i="1"/>
  <c r="B15" i="1"/>
  <c r="C12" i="5" s="1"/>
  <c r="C136" i="2"/>
  <c r="C13" i="5" l="1"/>
  <c r="E15" i="1"/>
  <c r="G7" i="5"/>
  <c r="E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26" authorId="0" shapeId="0" xr:uid="{00000000-0006-0000-0100-000001000000}">
      <text>
        <r>
          <rPr>
            <sz val="11"/>
            <color theme="1"/>
            <rFont val="Calibri"/>
            <family val="2"/>
            <charset val="1"/>
          </rPr>
          <t>🔵 H2 credit loss (net impairment) charge. Base keeps the H1 2026 level of £7.7m (H1 2025: £6.0m; INT26 p.19). In FY2025 the full-year charge was £4.2m (PRE25 p.20), meaning H2 2025 had a £1.8m net release; no scenario assumes that repeats. Any amount above £7.7m is taken off H2 operating profit (row 65); here that is £0.0m.</t>
        </r>
      </text>
    </comment>
    <comment ref="B34" authorId="0" shapeId="0" xr:uid="{00000000-0006-0000-0100-000002000000}">
      <text>
        <r>
          <rPr>
            <sz val="11"/>
            <color theme="1"/>
            <rFont val="Calibri"/>
            <family val="2"/>
            <charset val="1"/>
          </rPr>
          <t>🔢 From E115: H2 2025 conversion of operating profit into 'net cash and available funds' before working capital, about 1.25x (1.22x as reported in E108, plus the £1.4m H2 2025 receivables build in E114). Same in all scenarios. Each scenario's own change in receivables is deducted in D34; here it is a build of £10.1m.</t>
        </r>
      </text>
    </comment>
    <comment ref="D34" authorId="0" shapeId="0" xr:uid="{00000000-0006-0000-0100-000003000000}">
      <text>
        <r>
          <rPr>
            <sz val="11"/>
            <color theme="1"/>
            <rFont val="Calibri"/>
            <family val="2"/>
            <charset val="1"/>
          </rPr>
          <t>🔢 = H2 op. profit (D9) × B34 − (D22 − C22). The deduction is the change in ex-settlement receivables from June 2026 (C22 = £184.6m: trade and other receivables £268.8m less £84.2m T+2; INT26 p.20, p.29) to December 2026E (D22 = 81.47 days × FY2026E revenue ÷ 365). Here: +£10.1m. T+2 balances are left out because they are matched by payables (£84.2m vs £84.1m, INT26 Note 10 p.29). Payables, the bonus accrual and tax timing are not modelled by scenario.</t>
        </r>
      </text>
    </comment>
    <comment ref="D36" authorId="0" shapeId="0" xr:uid="{00000000-0006-0000-0100-000004000000}">
      <text>
        <r>
          <rPr>
            <sz val="11"/>
            <color theme="1"/>
            <rFont val="Calibri"/>
            <family val="2"/>
            <charset val="1"/>
          </rPr>
          <t>🔵 H2 M&amp;A spend is not disclosed. For reference, H1 2026 net spend was £54.9m on three deals (Zuma £7.5m, Link £48.1m, Serpac £0.9m, less £1.6m cash acquired; INT26 Note 8 p.28). This figure assumes no deal the size of Link in H2.</t>
        </r>
      </text>
    </comment>
    <comment ref="D38" authorId="0" shapeId="0" xr:uid="{00000000-0006-0000-0100-000005000000}">
      <text>
        <r>
          <rPr>
            <sz val="11"/>
            <color theme="1"/>
            <rFont val="Calibri"/>
            <family val="2"/>
            <charset val="1"/>
          </rPr>
          <t>📄 H2 2025 actual ESOP share purchases: FY2025 £33.4m (PRE25 p.23) − H1 2025 £31.6m (INT26 p.22) = £1.8m (row 102). Most buying happens in the first half (H1 2025 £31.6m, H1 2026 £24.0m). Same in all scenarios. It does not change invested capital or ROIC, since it reduces both net assets and net cash.</t>
        </r>
      </text>
    </comment>
    <comment ref="D39" authorId="0" shapeId="0" xr:uid="{00000000-0006-0000-0100-000006000000}">
      <text>
        <r>
          <rPr>
            <sz val="11"/>
            <color theme="1"/>
            <rFont val="Calibri"/>
            <family val="2"/>
            <charset val="1"/>
          </rPr>
          <t>📄 H1 2026 actual lease principal payments, £5.3m (INT26 p.22). H2 2025 was similar (£11.2m FY − £5.6m H1 = £5.6m; PRE25 p.23). Lease payments are contractual, so they are the same in all scenarios. Affects net cash only.</t>
        </r>
      </text>
    </comment>
    <comment ref="D46" authorId="0" shapeId="0" xr:uid="{00000000-0006-0000-0100-000007000000}">
      <text>
        <r>
          <rPr>
            <sz val="11"/>
            <color theme="1"/>
            <rFont val="Calibri"/>
            <family val="2"/>
            <charset val="1"/>
          </rPr>
          <t>🔢 Three-point average: (Dec 2025 + 2 × Jun 2026 + Dec 2026E) ÷ 4, with three points six months apart. It includes the June 2026 figure (C43 = 371.0) after the acquisitions; a two-point average would leave it out and overstate ROIC.</t>
        </r>
      </text>
    </comment>
    <comment ref="D52" authorId="0" shapeId="0" xr:uid="{00000000-0006-0000-0100-000008000000}">
      <text>
        <r>
          <rPr>
            <sz val="11"/>
            <color theme="1"/>
            <rFont val="Calibri"/>
            <family val="2"/>
            <charset val="1"/>
          </rPr>
          <t>Formula (=C87). Layer 1 (C85) = 0% organic growth, in line with the Board's guidance (INT26 p.1, p.6: 'the usual second-half weighting is unlikely this year'), plus a full half of Link (+2.09pp). Layer 2 (C86) = H1 organic YoY growth (C81, 35.78%) × share of H2 affected by the escalation (62%) × weight B86 (0.5). Result about 13.2%. Note: Layer 1 keeps H1's high revenue level in H2 and Layer 2 adds a further increase, so the two may overlap; the weight is explained in B86 and the full range is in rows 118-137. Other points: H1 S&amp;P activity was a record, but 'the pace of activity did moderate in the second quarter' (INT26 p.8). The £8.6m of Link revenue (INT26 Note 8 p.28) is assumed to be all Broking (INT26 p.5). The 'organic' rate in C81 also includes Zuma (£0.3m), Serpac (£0.1m) and one extra quarter of Euro-America (bought 31 March 2025), about 0.2pp in total.</t>
        </r>
      </text>
    </comment>
    <comment ref="E52" authorId="0" shapeId="0" xr:uid="{00000000-0006-0000-0100-000009000000}">
      <text>
        <r>
          <rPr>
            <sz val="11"/>
            <color theme="1"/>
            <rFont val="Calibri"/>
            <family val="2"/>
            <charset val="1"/>
          </rPr>
          <t>📄 From my margin analysis: Broking flow-through 26.1% from H1 2025 to H1 2026 (growth), and 53.8% from FY2024 to FY2025 (decline, used for Bear: costs did not fall with revenue). The rate is held constant (Summary note 15).</t>
        </r>
      </text>
    </comment>
    <comment ref="D53" authorId="0" shapeId="0" xr:uid="{00000000-0006-0000-0100-00000A000000}">
      <text>
        <r>
          <rPr>
            <sz val="11"/>
            <color theme="1"/>
            <rFont val="Calibri"/>
            <family val="2"/>
            <charset val="1"/>
          </rPr>
          <t>Financial's H1 2026 growth was organic: investment banking mandates (debt issuance and refinancing), more ECM and M&amp;A advisory, strong secondary trading and two Oslo IPOs (INT26 p.5, p.10). H2 outlook: 'Activity levels have remained healthy entering the second half' and pipelines 'remain encouraging' (INT26 p.10). Base 0%: H1 2026 (£48.1m, +66% YoY) was a record half, so it is held flat rather than grown further. Bull +8%: the actual FY2025 H1 to H2 change (£28.9m to £31.2m, +7.96%, 2025 Prelim Results p.25) applied to the higher base; this assumes the usual pattern continues on top of a record half. Bear −3%: the one decline year, FY2023 to FY2024 (−3.4%, £44.1m to £42.6m, AR2024 Note 4). Risk: a record half built on large deals could fall by more than 3% if one big mandate slips.</t>
        </r>
      </text>
    </comment>
    <comment ref="E53" authorId="0" shapeId="0" xr:uid="{00000000-0006-0000-0100-00000B000000}">
      <text>
        <r>
          <rPr>
            <sz val="11"/>
            <color theme="1"/>
            <rFont val="Calibri"/>
            <family val="2"/>
            <charset val="1"/>
          </rPr>
          <t>📄 From my margin analysis: 37.5% from H1 2025 to H1 2026 (Base) and 44.0% from FY2024 to FY2025 (Bull). Bear uses Financial's own decline year: FY2023 to FY2024, revenue £44.1m → £42.6m (−£1.5m), profit £6.6m → £5.2m (−£1.4m), so 93.3% (AR2024 Note 4, p.170). One small observation, so treat it as a guide only. The rate is held constant (Summary note 15).</t>
        </r>
      </text>
    </comment>
    <comment ref="D54" authorId="0" shapeId="0" xr:uid="{00000000-0006-0000-0100-00000C000000}">
      <text>
        <r>
          <rPr>
            <sz val="11"/>
            <color theme="1"/>
            <rFont val="Calibri"/>
            <family val="2"/>
            <charset val="1"/>
          </rPr>
          <t>🔵 Base +8% and Bull +14% are my assumptions, based on the H2 outlook on INT26 p.12: a stronger UK harvest expected, UK offshore work 'increasingly weighted towards the second half', and new Eemshaven facilities already busy. The filing gives no H2 growth figure. Bear +2% assumes none of this happens; it is close to the actual H1 2025 to H2 2025 change (£33.6m to £34.5m, +2.7%; INT26 p.25, PRE25 p.25).</t>
        </r>
      </text>
    </comment>
    <comment ref="E54" authorId="0" shapeId="0" xr:uid="{00000000-0006-0000-0100-00000D000000}">
      <text>
        <r>
          <rPr>
            <sz val="11"/>
            <color theme="1"/>
            <rFont val="Calibri"/>
            <family val="2"/>
            <charset val="1"/>
          </rPr>
          <t>📄 From my margin analysis: Support's flow-through was negative in both periods (FY2024 to FY2025: −93.5%; H1 2025 to H1 2026: −4.7%), so revenue grew but profit fell both times. Base uses the recent −4.7%, Bull 0%, Bear −20% (towards the worse period). Which point to use is my judgment; the negative sign comes from the data. The rate is held constant (Summary note 15).</t>
        </r>
      </text>
    </comment>
    <comment ref="D55" authorId="0" shapeId="0" xr:uid="{00000000-0006-0000-0100-00000E000000}">
      <text>
        <r>
          <rPr>
            <sz val="11"/>
            <color theme="1"/>
            <rFont val="Calibri"/>
            <family val="2"/>
            <charset val="1"/>
          </rPr>
          <t>📄 Based on two similar half-on-half changes: H1 2025 to H2 2025 +7.6% and H2 2025 to H1 2026 +7.1% (INT26 p.25, PRE25 p.25). Base +7% is about their average, Bull +10%, Bear +3% (Research revenue has not fallen in any period observed). If part of Link's revenue is reported in Research, its recent growth includes acquired revenue and this rate would be slightly too high.</t>
        </r>
      </text>
    </comment>
    <comment ref="E55" authorId="0" shapeId="0" xr:uid="{00000000-0006-0000-0100-00000F000000}">
      <text>
        <r>
          <rPr>
            <sz val="11"/>
            <color theme="1"/>
            <rFont val="Calibri"/>
            <family val="2"/>
            <charset val="1"/>
          </rPr>
          <t>📄 From my margin analysis: 60.0% from H1 2025 to H1 2026 (used in Base and Bull) and 40.7% from FY2024 to FY2025 (used in Bear). The rate is held constant (Summary note 15).</t>
        </r>
      </text>
    </comment>
    <comment ref="C59" authorId="0" shapeId="0" xr:uid="{00000000-0006-0000-0100-000010000000}">
      <text>
        <r>
          <rPr>
            <sz val="11"/>
            <color theme="1"/>
            <rFont val="Calibri"/>
            <family val="2"/>
            <charset val="1"/>
          </rPr>
          <t>📄 Head office costs are reported as one figure (INT26 Note 3 p.25; AR2025 Note 4). No breakdown by cost type (staff, legal, IT, board) is given. The 'unallocated assets and liabilities' note covers balance sheet items (cash, pensions, tax), not these costs. So the reason for the H1 2026 increase (+32.4% YoY) cannot be traced.</t>
        </r>
      </text>
    </comment>
    <comment ref="B60" authorId="0" shapeId="0" xr:uid="{00000000-0006-0000-0100-000011000000}">
      <text>
        <r>
          <rPr>
            <sz val="11"/>
            <color theme="1"/>
            <rFont val="Calibri"/>
            <family val="2"/>
            <charset val="1"/>
          </rPr>
          <t>🔵 Held at 0% growth (H2 2026E = H1 2026 actual, £28.6m) in all scenarios. Head office costs are group-level, and the filings give no reason for the H1 increase (+32.4% YoY, £21.6m → £28.6m; INT26 Note 3 p.25) or any guide for H2. With no basis for a direction, the reported level is used, as for DSO, ESOP and lease payments.</t>
        </r>
      </text>
    </comment>
    <comment ref="D65" authorId="0" shapeId="0" xr:uid="{00000000-0006-0000-0100-000012000000}">
      <text>
        <r>
          <rPr>
            <sz val="11"/>
            <color theme="1"/>
            <rFont val="Calibri"/>
            <family val="2"/>
            <charset val="1"/>
          </rPr>
          <t>🔢 The segment margins come from actual segment profits, which already include the H1 2026 level of credit losses (£7.7m, INT26 p.19). So only the H2 charge above that level is deducted: B26 − £7.7m = £0.0m here. It is deducted after FX, as a £ amount, and also lowers H2 cash through D34.</t>
        </r>
      </text>
    </comment>
    <comment ref="B67" authorId="0" shapeId="0" xr:uid="{00000000-0006-0000-0100-000013000000}">
      <text>
        <r>
          <rPr>
            <sz val="11"/>
            <color theme="1"/>
            <rFont val="Calibri"/>
            <family val="2"/>
            <charset val="1"/>
          </rPr>
          <t>🔵 GBP/USD path is my assumption. Reference points: H1 2026 average 1.3446 and 30 June 2026 spot 1.3197 (interim results presentation p.5), so sterling was already weakening. Base: modest further weakening. Bull: a stronger USD. Bear: sterling back towards the 30 June 2025 level (1.3719, same source).</t>
        </r>
      </text>
    </comment>
    <comment ref="B69" authorId="0" shapeId="0" xr:uid="{00000000-0006-0000-0100-000014000000}">
      <text>
        <r>
          <rPr>
            <sz val="11"/>
            <color theme="1"/>
            <rFont val="Calibri"/>
            <family val="2"/>
            <charset val="1"/>
          </rPr>
          <t>📄 AR2025 Note 27 (p.93): a 5% stronger USD adds £5.6m to PBT and a 5% weaker USD takes off £5.1m (rows 90-91). As a share of FY2025 underlying PBT (£90.6m, PRE25 p.1) that is 1.236% / 1.126% per 1% move (rows 93-94). The formula picks the side that matches the sign of D68. This is the company's hedged sensitivity. It is a translation effect in £, applied here as a % of H2 operating profit, so it is an approximation.</t>
        </r>
      </text>
    </comment>
    <comment ref="B86" authorId="0" shapeId="0" xr:uid="{00000000-0006-0000-0100-000015000000}">
      <text>
        <r>
          <rPr>
            <sz val="11"/>
            <color theme="1"/>
            <rFont val="Calibri"/>
            <family val="2"/>
            <charset val="1"/>
          </rPr>
          <t>🔵 Base weight 0.5. The H1 2026 rise in Broking revenue that sets the size of Layer 2 (C81) came from the closure of the Strait of Hormuz, 'a pronounced shock across global shipping markets' (INT26 p.4). The September Yemen–Saudi escalation (🌐 news) is narrower: it hits Saudi-linked shipping and Red Sea routes rather than closing the whole Gulf. So Base takes it as about half the H1 shock. This is a judgment, not a measured figure. Cross-check: in mid-September the ClarkSea index was about 46% above its H1 average (🌐), which points to about +18.5% using the H1 relationship, above Base's 13.2%. Results for weights 0 to 1.0 are in rows 118-137.</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26" authorId="0" shapeId="0" xr:uid="{00000000-0006-0000-0200-000001000000}">
      <text>
        <r>
          <rPr>
            <sz val="11"/>
            <color theme="1"/>
            <rFont val="Calibri"/>
            <family val="2"/>
            <charset val="1"/>
          </rPr>
          <t>🔵 H2 credit loss (net impairment) charge. Bull uses £9.5m, higher than Base because receivables are larger. H1 2026 was £7.7m (H1 2025: £6.0m; INT26 p.19). In FY2025 the full-year charge was £4.2m (PRE25 p.20), meaning H2 2025 had a £1.8m net release; no scenario assumes that repeats. The £1.8m above £7.7m is taken off H2 operating profit (row 65).</t>
        </r>
      </text>
    </comment>
    <comment ref="B34" authorId="0" shapeId="0" xr:uid="{00000000-0006-0000-0200-000002000000}">
      <text>
        <r>
          <rPr>
            <sz val="11"/>
            <color theme="1"/>
            <rFont val="Calibri"/>
            <family val="2"/>
            <charset val="1"/>
          </rPr>
          <t>🔢 From E115: H2 2025 conversion of operating profit into 'net cash and available funds' before working capital, about 1.25x (1.22x as reported in E108, plus the £1.4m H2 2025 receivables build in E114). Same in all scenarios. Each scenario's own change in receivables is deducted in D34; here it is a build of £19.2m, the largest, so Bull ties up the most cash.</t>
        </r>
      </text>
    </comment>
    <comment ref="D34" authorId="0" shapeId="0" xr:uid="{00000000-0006-0000-0200-000003000000}">
      <text>
        <r>
          <rPr>
            <sz val="11"/>
            <color theme="1"/>
            <rFont val="Calibri"/>
            <family val="2"/>
            <charset val="1"/>
          </rPr>
          <t>🔢 = H2 op. profit (D9) × B34 − (D22 − C22). The deduction is the change in ex-settlement receivables from June 2026 (C22 = £184.6m: trade and other receivables £268.8m less £84.2m T+2; INT26 p.20, p.29) to December 2026E (D22 = 81.47 days × FY2026E revenue ÷ 365). Here: +£19.2m. T+2 balances are left out because they are matched by payables (£84.2m vs £84.1m, INT26 Note 10 p.29). Payables, the bonus accrual and tax timing are not modelled by scenario.</t>
        </r>
      </text>
    </comment>
    <comment ref="D36" authorId="0" shapeId="0" xr:uid="{00000000-0006-0000-0200-000004000000}">
      <text>
        <r>
          <rPr>
            <sz val="11"/>
            <color theme="1"/>
            <rFont val="Calibri"/>
            <family val="2"/>
            <charset val="1"/>
          </rPr>
          <t>🔵 H2 M&amp;A spend is not disclosed. For reference, H1 2026 net spend was £54.9m on three deals (Zuma £7.5m, Link £48.1m, Serpac £0.9m, less £1.6m cash acquired; INT26 Note 8 p.28). This figure assumes no deal the size of Link in H2.</t>
        </r>
      </text>
    </comment>
    <comment ref="D38" authorId="0" shapeId="0" xr:uid="{00000000-0006-0000-0200-000005000000}">
      <text>
        <r>
          <rPr>
            <sz val="11"/>
            <color theme="1"/>
            <rFont val="Calibri"/>
            <family val="2"/>
            <charset val="1"/>
          </rPr>
          <t>📄 H2 2025 actual ESOP share purchases: FY2025 £33.4m (PRE25 p.23) − H1 2025 £31.6m (INT26 p.22) = £1.8m (row 102). Most buying happens in the first half (H1 2025 £31.6m, H1 2026 £24.0m). Same in all scenarios. It does not change invested capital or ROIC, since it reduces both net assets and net cash.</t>
        </r>
      </text>
    </comment>
    <comment ref="D39" authorId="0" shapeId="0" xr:uid="{00000000-0006-0000-0200-000006000000}">
      <text>
        <r>
          <rPr>
            <sz val="11"/>
            <color theme="1"/>
            <rFont val="Calibri"/>
            <family val="2"/>
            <charset val="1"/>
          </rPr>
          <t>📄 H1 2026 actual lease principal payments, £5.3m (INT26 p.22). H2 2025 was similar (£11.2m FY − £5.6m H1 = £5.6m; PRE25 p.23). Lease payments are contractual, so they are the same in all scenarios. Affects net cash only.</t>
        </r>
      </text>
    </comment>
    <comment ref="D46" authorId="0" shapeId="0" xr:uid="{00000000-0006-0000-0200-000007000000}">
      <text>
        <r>
          <rPr>
            <sz val="11"/>
            <color theme="1"/>
            <rFont val="Calibri"/>
            <family val="2"/>
            <charset val="1"/>
          </rPr>
          <t>🔢 Three-point average: (Dec 2025 + 2 × Jun 2026 + Dec 2026E) ÷ 4, with three points six months apart. It includes the June 2026 figure (C43 = 371.0) after the acquisitions; a two-point average would leave it out and overstate ROIC.</t>
        </r>
      </text>
    </comment>
    <comment ref="D52" authorId="0" shapeId="0" xr:uid="{00000000-0006-0000-0200-000008000000}">
      <text>
        <r>
          <rPr>
            <sz val="11"/>
            <color theme="1"/>
            <rFont val="Calibri"/>
            <family val="2"/>
            <charset val="1"/>
          </rPr>
          <t>Formula (=C87). Layer 1 (C85) is the same as Base (0% organic growth plus a full half of Link, +2.09pp). Layer 2 (C86) = H1 organic YoY growth (C81, 35.78%) × share of H2 affected (62%) × weight B86 (1.0, the upper bound: the escalation becomes as large as the H1 Hormuz closure). Result about 24.3%. For reference, the ClarkSea index averaged +61% YoY in H1 2026 (interim results presentation p.12); the September 'all-time high, +91% YoY' figure is from news (🌐), not the filings. The same overlap point as Base applies. The £8.6m of Link revenue (INT26 Note 8 p.28) is assumed to be all Broking (INT26 p.5).</t>
        </r>
      </text>
    </comment>
    <comment ref="E52" authorId="0" shapeId="0" xr:uid="{00000000-0006-0000-0200-000009000000}">
      <text>
        <r>
          <rPr>
            <sz val="11"/>
            <color theme="1"/>
            <rFont val="Calibri"/>
            <family val="2"/>
            <charset val="1"/>
          </rPr>
          <t>📄 From my margin analysis: Broking flow-through 26.1% from H1 2025 to H1 2026 (growth), and 53.8% from FY2024 to FY2025 (decline, used for Bear: costs did not fall with revenue). The rate is held constant (Summary note 15).</t>
        </r>
      </text>
    </comment>
    <comment ref="D53" authorId="0" shapeId="0" xr:uid="{00000000-0006-0000-0200-00000A000000}">
      <text>
        <r>
          <rPr>
            <sz val="11"/>
            <color theme="1"/>
            <rFont val="Calibri"/>
            <family val="2"/>
            <charset val="1"/>
          </rPr>
          <t>Financial's H1 2026 growth was organic: investment banking mandates (debt issuance and refinancing), more ECM and M&amp;A advisory, strong secondary trading and two Oslo IPOs (INT26 p.5, p.10). H2 outlook: 'Activity levels have remained healthy entering the second half' and pipelines 'remain encouraging' (INT26 p.10). Base 0%: H1 2026 (£48.1m, +66% YoY) was a record half, so it is held flat rather than grown further. Bull +8%: the actual FY2025 H1 to H2 change (£28.9m to £31.2m, +7.96%, 2025 Prelim Results p.25) applied to the higher base; this assumes the usual pattern continues on top of a record half. Bear −3%: the one decline year, FY2023 to FY2024 (−3.4%, £44.1m to £42.6m, AR2024 Note 4). Risk: a record half built on large deals could fall by more than 3% if one big mandate slips.</t>
        </r>
      </text>
    </comment>
    <comment ref="E53" authorId="0" shapeId="0" xr:uid="{00000000-0006-0000-0200-00000B000000}">
      <text>
        <r>
          <rPr>
            <sz val="11"/>
            <color theme="1"/>
            <rFont val="Calibri"/>
            <family val="2"/>
            <charset val="1"/>
          </rPr>
          <t>📄 From my margin analysis: 37.5% from H1 2025 to H1 2026 (Base) and 44.0% from FY2024 to FY2025 (Bull). Bear uses Financial's own decline year: FY2023 to FY2024, revenue £44.1m → £42.6m (−£1.5m), profit £6.6m → £5.2m (−£1.4m), so 93.3% (AR2024 Note 4, p.170). One small observation, so treat it as a guide only. The rate is held constant (Summary note 15).</t>
        </r>
      </text>
    </comment>
    <comment ref="D54" authorId="0" shapeId="0" xr:uid="{00000000-0006-0000-0200-00000C000000}">
      <text>
        <r>
          <rPr>
            <sz val="11"/>
            <color theme="1"/>
            <rFont val="Calibri"/>
            <family val="2"/>
            <charset val="1"/>
          </rPr>
          <t>🔵 Base +8% and Bull +14% are my assumptions, based on the H2 outlook on INT26 p.12: a stronger UK harvest expected, UK offshore work 'increasingly weighted towards the second half', and new Eemshaven facilities already busy. The filing gives no H2 growth figure. Bear +2% assumes none of this happens; it is close to the actual H1 2025 to H2 2025 change (£33.6m to £34.5m, +2.7%; INT26 p.25, PRE25 p.25).</t>
        </r>
      </text>
    </comment>
    <comment ref="E54" authorId="0" shapeId="0" xr:uid="{00000000-0006-0000-0200-00000D000000}">
      <text>
        <r>
          <rPr>
            <sz val="11"/>
            <color theme="1"/>
            <rFont val="Calibri"/>
            <family val="2"/>
            <charset val="1"/>
          </rPr>
          <t>📄 From my margin analysis: Support's flow-through was negative in both periods (FY2024 to FY2025: −93.5%; H1 2025 to H1 2026: −4.7%), so revenue grew but profit fell both times. Base uses the recent −4.7%, Bull 0%, Bear −20% (towards the worse period). Which point to use is my judgment; the negative sign comes from the data. The rate is held constant (Summary note 15).</t>
        </r>
      </text>
    </comment>
    <comment ref="D55" authorId="0" shapeId="0" xr:uid="{00000000-0006-0000-0200-00000E000000}">
      <text>
        <r>
          <rPr>
            <sz val="11"/>
            <color theme="1"/>
            <rFont val="Calibri"/>
            <family val="2"/>
            <charset val="1"/>
          </rPr>
          <t>📄 Based on two similar half-on-half changes: H1 2025 to H2 2025 +7.6% and H2 2025 to H1 2026 +7.1% (INT26 p.25, PRE25 p.25). Base +7% is about their average, Bull +10%, Bear +3% (Research revenue has not fallen in any period observed). If part of Link's revenue is reported in Research, its recent growth includes acquired revenue and this rate would be slightly too high.</t>
        </r>
      </text>
    </comment>
    <comment ref="E55" authorId="0" shapeId="0" xr:uid="{00000000-0006-0000-0200-00000F000000}">
      <text>
        <r>
          <rPr>
            <sz val="11"/>
            <color theme="1"/>
            <rFont val="Calibri"/>
            <family val="2"/>
            <charset val="1"/>
          </rPr>
          <t>📄 From my margin analysis: 60.0% from H1 2025 to H1 2026 (used in Base and Bull) and 40.7% from FY2024 to FY2025 (used in Bear). The rate is held constant (Summary note 15).</t>
        </r>
      </text>
    </comment>
    <comment ref="C59" authorId="0" shapeId="0" xr:uid="{00000000-0006-0000-0200-000010000000}">
      <text>
        <r>
          <rPr>
            <sz val="11"/>
            <color theme="1"/>
            <rFont val="Calibri"/>
            <family val="2"/>
            <charset val="1"/>
          </rPr>
          <t>📄 Head office costs are reported as one figure (INT26 Note 3 p.25; AR2025 Note 4). No breakdown by cost type (staff, legal, IT, board) is given. The 'unallocated assets and liabilities' note covers balance sheet items (cash, pensions, tax), not these costs. So the reason for the H1 2026 increase (+32.4% YoY) cannot be traced.</t>
        </r>
      </text>
    </comment>
    <comment ref="B60" authorId="0" shapeId="0" xr:uid="{00000000-0006-0000-0200-000011000000}">
      <text>
        <r>
          <rPr>
            <sz val="11"/>
            <color theme="1"/>
            <rFont val="Calibri"/>
            <family val="2"/>
            <charset val="1"/>
          </rPr>
          <t>🔵 Held at 0% growth (H2 2026E = H1 2026 actual, £28.6m) in all scenarios. Head office costs are group-level, and the filings give no reason for the H1 increase (+32.4% YoY, £21.6m → £28.6m; INT26 Note 3 p.25) or any guide for H2. With no basis for a direction, the reported level is used, as for DSO, ESOP and lease payments.</t>
        </r>
      </text>
    </comment>
    <comment ref="D65" authorId="0" shapeId="0" xr:uid="{00000000-0006-0000-0200-000012000000}">
      <text>
        <r>
          <rPr>
            <sz val="11"/>
            <color theme="1"/>
            <rFont val="Calibri"/>
            <family val="2"/>
            <charset val="1"/>
          </rPr>
          <t>🔢 The segment margins come from actual segment profits, which already include the H1 2026 level of credit losses (£7.7m, INT26 p.19). So only the H2 charge above that level is deducted: B26 − £7.7m = £1.8m here. It is deducted after FX, as a £ amount, and also lowers H2 cash through D34.</t>
        </r>
      </text>
    </comment>
    <comment ref="B67" authorId="0" shapeId="0" xr:uid="{00000000-0006-0000-0200-000013000000}">
      <text>
        <r>
          <rPr>
            <sz val="11"/>
            <color theme="1"/>
            <rFont val="Calibri"/>
            <family val="2"/>
            <charset val="1"/>
          </rPr>
          <t>🔵 GBP/USD path is my assumption. Reference points: H1 2026 average 1.3446 and 30 June 2026 spot 1.3197 (interim results presentation p.5), so sterling was already weakening. Base: modest further weakening. Bull: a stronger USD. Bear: sterling back towards the 30 June 2025 level (1.3719, same source).</t>
        </r>
      </text>
    </comment>
    <comment ref="B69" authorId="0" shapeId="0" xr:uid="{00000000-0006-0000-0200-000014000000}">
      <text>
        <r>
          <rPr>
            <sz val="11"/>
            <color theme="1"/>
            <rFont val="Calibri"/>
            <family val="2"/>
            <charset val="1"/>
          </rPr>
          <t>📄 AR2025 Note 27 (p.93): a 5% stronger USD adds £5.6m to PBT and a 5% weaker USD takes off £5.1m (rows 90-91). As a share of FY2025 underlying PBT (£90.6m, PRE25 p.1) that is 1.236% / 1.126% per 1% move (rows 93-94). The formula picks the side that matches the sign of D68. This is the company's hedged sensitivity. It is a translation effect in £, applied here as a % of H2 operating profit, so it is an approximation.</t>
        </r>
      </text>
    </comment>
    <comment ref="B86" authorId="0" shapeId="0" xr:uid="{00000000-0006-0000-0200-000015000000}">
      <text>
        <r>
          <rPr>
            <sz val="11"/>
            <color theme="1"/>
            <rFont val="Calibri"/>
            <family val="2"/>
            <charset val="1"/>
          </rPr>
          <t>🔵 Bull weight 1.0: the September escalation becomes as large as the H1 2026 shock (the closure of the Strait of Hormuz, INT26 p.4) for the rest of H2. This is the upper bound, not the expected case. The H1 growth rate also includes things unrelated to the disruption (record S&amp;P activity, newbuilding orders), which is another reason to treat 1.0 as a ceiling.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26" authorId="0" shapeId="0" xr:uid="{00000000-0006-0000-0300-000001000000}">
      <text>
        <r>
          <rPr>
            <sz val="11"/>
            <color theme="1"/>
            <rFont val="Calibri"/>
            <family val="2"/>
            <charset val="1"/>
          </rPr>
          <t>🔵 H2 credit loss (net impairment) charge. Bear uses £11.5m, the highest, for more customer credit risk in a downturn. It is not about slower collection: Real DSO is the same in all scenarios. H1 2026 was £7.7m (H1 2025: £6.0m; INT26 p.19). In FY2025 the full-year charge was £4.2m (PRE25 p.20), meaning H2 2025 had a £1.8m net release. The £3.8m above £7.7m is taken off H2 operating profit (row 65).</t>
        </r>
      </text>
    </comment>
    <comment ref="B34" authorId="0" shapeId="0" xr:uid="{00000000-0006-0000-0300-000002000000}">
      <text>
        <r>
          <rPr>
            <sz val="11"/>
            <color theme="1"/>
            <rFont val="Calibri"/>
            <family val="2"/>
            <charset val="1"/>
          </rPr>
          <t>🔢 From E115: H2 2025 conversion of operating profit into 'net cash and available funds' before working capital, about 1.25x (1.22x as reported in E108, plus the £1.4m H2 2025 receivables build in E114). Same in all scenarios. Each scenario's own change in receivables is deducted in D34; here it is a release of £5.6m, so Bear frees cash as revenue falls.</t>
        </r>
      </text>
    </comment>
    <comment ref="D34" authorId="0" shapeId="0" xr:uid="{00000000-0006-0000-0300-000003000000}">
      <text>
        <r>
          <rPr>
            <sz val="11"/>
            <color theme="1"/>
            <rFont val="Calibri"/>
            <family val="2"/>
            <charset val="1"/>
          </rPr>
          <t>🔢 = H2 op. profit (D9) × B34 − (D22 − C22). The deduction is the change in ex-settlement receivables from June 2026 (C22 = £184.6m: trade and other receivables £268.8m less £84.2m T+2; INT26 p.20, p.29) to December 2026E (D22 = 81.47 days × FY2026E revenue ÷ 365). Here: −£5.6m (a release). T+2 balances are left out because they are matched by payables (£84.2m vs £84.1m, INT26 Note 10 p.29). Payables, the bonus accrual and tax timing are not modelled by scenario.</t>
        </r>
      </text>
    </comment>
    <comment ref="D36" authorId="0" shapeId="0" xr:uid="{00000000-0006-0000-0300-000004000000}">
      <text>
        <r>
          <rPr>
            <sz val="11"/>
            <color theme="1"/>
            <rFont val="Calibri"/>
            <family val="2"/>
            <charset val="1"/>
          </rPr>
          <t>🔵 H2 M&amp;A spend is not disclosed. For reference, H1 2026 net spend was £54.9m on three deals (Zuma £7.5m, Link £48.1m, Serpac £0.9m, less £1.6m cash acquired; INT26 Note 8 p.28). This figure assumes no deal the size of Link in H2.</t>
        </r>
      </text>
    </comment>
    <comment ref="D38" authorId="0" shapeId="0" xr:uid="{00000000-0006-0000-0300-000005000000}">
      <text>
        <r>
          <rPr>
            <sz val="11"/>
            <color theme="1"/>
            <rFont val="Calibri"/>
            <family val="2"/>
            <charset val="1"/>
          </rPr>
          <t>📄 H2 2025 actual ESOP share purchases: FY2025 £33.4m (PRE25 p.23) − H1 2025 £31.6m (INT26 p.22) = £1.8m (row 102). Most buying happens in the first half (H1 2025 £31.6m, H1 2026 £24.0m). Same in all scenarios. It does not change invested capital or ROIC, since it reduces both net assets and net cash.</t>
        </r>
      </text>
    </comment>
    <comment ref="D39" authorId="0" shapeId="0" xr:uid="{00000000-0006-0000-0300-000006000000}">
      <text>
        <r>
          <rPr>
            <sz val="11"/>
            <color theme="1"/>
            <rFont val="Calibri"/>
            <family val="2"/>
            <charset val="1"/>
          </rPr>
          <t>📄 H1 2026 actual lease principal payments, £5.3m (INT26 p.22). H2 2025 was similar (£11.2m FY − £5.6m H1 = £5.6m; PRE25 p.23). Lease payments are contractual, so they are the same in all scenarios. Affects net cash only.</t>
        </r>
      </text>
    </comment>
    <comment ref="D46" authorId="0" shapeId="0" xr:uid="{00000000-0006-0000-0300-000007000000}">
      <text>
        <r>
          <rPr>
            <sz val="11"/>
            <color theme="1"/>
            <rFont val="Calibri"/>
            <family val="2"/>
            <charset val="1"/>
          </rPr>
          <t>🔢 Three-point average: (Dec 2025 + 2 × Jun 2026 + Dec 2026E) ÷ 4, with three points six months apart. It includes the June 2026 figure (C43 = 371.0) after the acquisitions; a two-point average would leave it out and overstate ROIC.</t>
        </r>
      </text>
    </comment>
    <comment ref="D52" authorId="0" shapeId="0" xr:uid="{00000000-0006-0000-0300-000008000000}">
      <text>
        <r>
          <rPr>
            <sz val="11"/>
            <color theme="1"/>
            <rFont val="Calibri"/>
            <family val="2"/>
            <charset val="1"/>
          </rPr>
          <t>Bear does not use the two layers: D52 is a fixed −8%, my assumption. It assumes the disruption fades as de-escalation resumes (🌐 news: a June 2026 US–Iran agreement had already failed once). It is a fall, not a collapse. Other points: H1 S&amp;P activity was a record, but 'the pace of activity did moderate in the second quarter' (INT26 p.8). The £8.6m of Link revenue (INT26 Note 8 p.28) is assumed to be all Broking (INT26 p.5).</t>
        </r>
      </text>
    </comment>
    <comment ref="E52" authorId="0" shapeId="0" xr:uid="{00000000-0006-0000-0300-000009000000}">
      <text>
        <r>
          <rPr>
            <sz val="11"/>
            <color theme="1"/>
            <rFont val="Calibri"/>
            <family val="2"/>
            <charset val="1"/>
          </rPr>
          <t>📄 From my margin analysis: Broking flow-through 26.1% from H1 2025 to H1 2026 (growth), and 53.8% from FY2024 to FY2025 (decline, used for Bear: costs did not fall with revenue). The rate is held constant (Summary note 15).</t>
        </r>
      </text>
    </comment>
    <comment ref="D53" authorId="0" shapeId="0" xr:uid="{00000000-0006-0000-0300-00000A000000}">
      <text>
        <r>
          <rPr>
            <sz val="11"/>
            <color theme="1"/>
            <rFont val="Calibri"/>
            <family val="2"/>
            <charset val="1"/>
          </rPr>
          <t>Financial's H1 2026 growth was organic: investment banking mandates (debt issuance and refinancing), more ECM and M&amp;A advisory, strong secondary trading and two Oslo IPOs (INT26 p.5, p.10). H2 outlook: 'Activity levels have remained healthy entering the second half' and pipelines 'remain encouraging' (INT26 p.10). Base 0%: H1 2026 (£48.1m, +66% YoY) was a record half, so it is held flat rather than grown further. Bull +8%: the actual FY2025 H1 to H2 change (£28.9m to £31.2m, +7.96%, 2025 Prelim Results p.25) applied to the higher base; this assumes the usual pattern continues on top of a record half. Bear −3%: the one decline year, FY2023 to FY2024 (−3.4%, £44.1m to £42.6m, AR2024 Note 4). Risk: a record half built on large deals could fall by more than 3% if one big mandate slips.</t>
        </r>
      </text>
    </comment>
    <comment ref="E53" authorId="0" shapeId="0" xr:uid="{00000000-0006-0000-0300-00000B000000}">
      <text>
        <r>
          <rPr>
            <sz val="11"/>
            <color theme="1"/>
            <rFont val="Calibri"/>
            <family val="2"/>
            <charset val="1"/>
          </rPr>
          <t>📄 From my margin analysis: 37.5% from H1 2025 to H1 2026 (Base) and 44.0% from FY2024 to FY2025 (Bull). Bear uses Financial's own decline year: FY2023 to FY2024, revenue £44.1m → £42.6m (−£1.5m), profit £6.6m → £5.2m (−£1.4m), so 93.3% (AR2024 Note 4, p.170). One small observation, so treat it as a guide only. The rate is held constant (Summary note 15).</t>
        </r>
      </text>
    </comment>
    <comment ref="D54" authorId="0" shapeId="0" xr:uid="{00000000-0006-0000-0300-00000C000000}">
      <text>
        <r>
          <rPr>
            <sz val="11"/>
            <color theme="1"/>
            <rFont val="Calibri"/>
            <family val="2"/>
            <charset val="1"/>
          </rPr>
          <t>🔵 Base +8% and Bull +14% are my assumptions, based on the H2 outlook on INT26 p.12: a stronger UK harvest expected, UK offshore work 'increasingly weighted towards the second half', and new Eemshaven facilities already busy. The filing gives no H2 growth figure. Bear +2% assumes none of this happens; it is close to the actual H1 2025 to H2 2025 change (£33.6m to £34.5m, +2.7%; INT26 p.25, PRE25 p.25).</t>
        </r>
      </text>
    </comment>
    <comment ref="E54" authorId="0" shapeId="0" xr:uid="{00000000-0006-0000-0300-00000D000000}">
      <text>
        <r>
          <rPr>
            <sz val="11"/>
            <color theme="1"/>
            <rFont val="Calibri"/>
            <family val="2"/>
            <charset val="1"/>
          </rPr>
          <t>📄 From my margin analysis: Support's flow-through was negative in both periods (FY2024 to FY2025: −93.5%; H1 2025 to H1 2026: −4.7%), so revenue grew but profit fell both times. Base uses the recent −4.7%, Bull 0%, Bear −20% (towards the worse period). Which point to use is my judgment; the negative sign comes from the data. The rate is held constant (Summary note 15).</t>
        </r>
      </text>
    </comment>
    <comment ref="D55" authorId="0" shapeId="0" xr:uid="{00000000-0006-0000-0300-00000E000000}">
      <text>
        <r>
          <rPr>
            <sz val="11"/>
            <color theme="1"/>
            <rFont val="Calibri"/>
            <family val="2"/>
            <charset val="1"/>
          </rPr>
          <t>📄 Based on two similar half-on-half changes: H1 2025 to H2 2025 +7.6% and H2 2025 to H1 2026 +7.1% (INT26 p.25, PRE25 p.25). Base +7% is about their average, Bull +10%, Bear +3% (Research revenue has not fallen in any period observed). If part of Link's revenue is reported in Research, its recent growth includes acquired revenue and this rate would be slightly too high.</t>
        </r>
      </text>
    </comment>
    <comment ref="E55" authorId="0" shapeId="0" xr:uid="{00000000-0006-0000-0300-00000F000000}">
      <text>
        <r>
          <rPr>
            <sz val="11"/>
            <color theme="1"/>
            <rFont val="Calibri"/>
            <family val="2"/>
            <charset val="1"/>
          </rPr>
          <t>📄 From my margin analysis: 60.0% from H1 2025 to H1 2026 (used in Base and Bull) and 40.7% from FY2024 to FY2025 (used in Bear). The rate is held constant (Summary note 15).</t>
        </r>
      </text>
    </comment>
    <comment ref="C59" authorId="0" shapeId="0" xr:uid="{00000000-0006-0000-0300-000010000000}">
      <text>
        <r>
          <rPr>
            <sz val="11"/>
            <color theme="1"/>
            <rFont val="Calibri"/>
            <family val="2"/>
            <charset val="1"/>
          </rPr>
          <t>📄 Head office costs are reported as one figure (INT26 Note 3 p.25; AR2025 Note 4). No breakdown by cost type (staff, legal, IT, board) is given. The 'unallocated assets and liabilities' note covers balance sheet items (cash, pensions, tax), not these costs. So the reason for the H1 2026 increase (+32.4% YoY) cannot be traced.</t>
        </r>
      </text>
    </comment>
    <comment ref="B60" authorId="0" shapeId="0" xr:uid="{00000000-0006-0000-0300-000011000000}">
      <text>
        <r>
          <rPr>
            <sz val="11"/>
            <color theme="1"/>
            <rFont val="Calibri"/>
            <family val="2"/>
            <charset val="1"/>
          </rPr>
          <t>🔵 Held at 0% growth (H2 2026E = H1 2026 actual, £28.6m) in all scenarios. Head office costs are group-level, and the filings give no reason for the H1 increase (+32.4% YoY, £21.6m → £28.6m; INT26 Note 3 p.25) or any guide for H2. With no basis for a direction, the reported level is used, as for DSO, ESOP and lease payments.</t>
        </r>
      </text>
    </comment>
    <comment ref="D65" authorId="0" shapeId="0" xr:uid="{00000000-0006-0000-0300-000012000000}">
      <text>
        <r>
          <rPr>
            <sz val="11"/>
            <color theme="1"/>
            <rFont val="Calibri"/>
            <family val="2"/>
            <charset val="1"/>
          </rPr>
          <t>🔢 The segment margins come from actual segment profits, which already include the H1 2026 level of credit losses (£7.7m, INT26 p.19). So only the H2 charge above that level is deducted: B26 − £7.7m = £3.8m here. It is deducted after FX, as a £ amount, and also lowers H2 cash through D34.</t>
        </r>
      </text>
    </comment>
    <comment ref="B67" authorId="0" shapeId="0" xr:uid="{00000000-0006-0000-0300-000013000000}">
      <text>
        <r>
          <rPr>
            <sz val="11"/>
            <color theme="1"/>
            <rFont val="Calibri"/>
            <family val="2"/>
            <charset val="1"/>
          </rPr>
          <t>🔵 GBP/USD path is my assumption. Reference points: H1 2026 average 1.3446 and 30 June 2026 spot 1.3197 (interim results presentation p.5), so sterling was already weakening. Base: modest further weakening. Bull: a stronger USD. Bear: sterling back towards the 30 June 2025 level (1.3719, same source).</t>
        </r>
      </text>
    </comment>
    <comment ref="B69" authorId="0" shapeId="0" xr:uid="{00000000-0006-0000-0300-000014000000}">
      <text>
        <r>
          <rPr>
            <sz val="11"/>
            <color theme="1"/>
            <rFont val="Calibri"/>
            <family val="2"/>
            <charset val="1"/>
          </rPr>
          <t>📄 AR2025 Note 27 (p.93): a 5% stronger USD adds £5.6m to PBT and a 5% weaker USD takes off £5.1m (rows 90-91). As a share of FY2025 underlying PBT (£90.6m, PRE25 p.1) that is 1.236% / 1.126% per 1% move (rows 93-94). The formula picks the side that matches the sign of D68. This is the company's hedged sensitivity. It is a translation effect in £, applied here as a % of H2 operating profit, so it is an approximation.</t>
        </r>
      </text>
    </comment>
  </commentList>
</comments>
</file>

<file path=xl/sharedStrings.xml><?xml version="1.0" encoding="utf-8"?>
<sst xmlns="http://schemas.openxmlformats.org/spreadsheetml/2006/main" count="533" uniqueCount="241">
  <si>
    <t>Clarkson PLC (LSE: CKN) — FY2026E Scenario Comparison</t>
  </si>
  <si>
    <t>All figures link to the Base Case, Bull Case and Bear Case sheets. Change a yellow input cell there and this sheet updates.</t>
  </si>
  <si>
    <t>FY2026E Summary (£m unless noted)</t>
  </si>
  <si>
    <t>Metric</t>
  </si>
  <si>
    <t>Base Case</t>
  </si>
  <si>
    <t>Bull Case</t>
  </si>
  <si>
    <t>Bear Case</t>
  </si>
  <si>
    <t>Spread (Bull − Bear)</t>
  </si>
  <si>
    <t>Revenue</t>
  </si>
  <si>
    <t>Underlying Operating Profit</t>
  </si>
  <si>
    <t>Underlying Operating Margin %</t>
  </si>
  <si>
    <t>Underlying Net Income</t>
  </si>
  <si>
    <t>NOPAT</t>
  </si>
  <si>
    <t>Real DSO, Dec 2026E (days)</t>
  </si>
  <si>
    <t>ECL Allowance, Dec 2026E</t>
  </si>
  <si>
    <t>ECL charge / H2 revenue</t>
  </si>
  <si>
    <t>Net Cash &amp; Available Funds, Dec 2026E</t>
  </si>
  <si>
    <t>Average Invested Capital, FY2026</t>
  </si>
  <si>
    <t>ROIC FY2026E</t>
  </si>
  <si>
    <t>Model Notes &amp; Caveats</t>
  </si>
  <si>
    <t>1. Structure: Broking H2 growth is built in two layers (Base and Bull sheets, rows 74-87). Layer 1 follows the Board's guidance of 31 July 2026 (no second-half weighting): organic Broking revenue flat, plus a full half of Link. Layer 2 adds the Yemen–Saudi escalation from 9 September 2026, for Broking only. Financial H2 growth is a separate input (Base 0% so the record H1 is not extrapolated; Bull +8%, the FY2025 H2 vs H1 change). Bear does not use the two layers. Head office costs are held at the H1 2026 actual (£28.6m) because no driver is disclosed for the H1 increase (+32.4% YoY).</t>
  </si>
  <si>
    <t>2. Net finance income is held at £4.7m (H1 2026 level) in all scenarios and periods, to avoid a circular link with the cash forecast. A fuller model would tie it to average net cash.</t>
  </si>
  <si>
    <t>3. The net assets roll-forward (row 42 on each sheet) leaves out OCI, FX translation and NCI movements to keep it simple.</t>
  </si>
  <si>
    <t>4. The main judgments to test: segment H2 growth rates and flow-through choices, the Layer 2 weight (B86: Base 0.5, Bull 1.0), the H2 credit loss charge (B26; the part above the H1 level of £7.7m is taken off H2 operating profit, row 65), H2 M&amp;A spend (D36) and the GBP/USD path (B67). Real DSO, T+2 balances, ESOP, lease payments, head office costs and the cash conversion multiple are based on reported figures and are the same in all scenarios. Each scenario's change in receivables affects cash through D34.</t>
  </si>
  <si>
    <t>5. The H2 2026 dividend (£10.8m) is the same in all scenarios because it is the interim dividend already declared (35p per share).</t>
  </si>
  <si>
    <t>6. H1 2026, June 2026 and FY2025 figures come from the 2026 Interim Report and the 2025 Annual Report / Preliminary Results (page references in the cell comments).</t>
  </si>
  <si>
    <t>7. Basis: operating profit is before acquisition-related costs, as in the segment note (segment results less head office costs; INT26 Note 3 p.25, AR2025 Note 4 p.82). H1 2026 was £56.8m on this basis and £51.0m statutory. H1 2026 acquisition-related costs were £5.8m in operating profit (amortisation £1.4m, transaction costs £0.9m, charges linked to acquisitions £3.5m; INT26 Note 4 p.25) plus £0.1m of interest, £5.9m before tax (INT26 p.19). They are not forecast for H2. They will continue: the Link escrow (£12.6m) and share awards (Link £4.1m, Zuma £1.9m) are expensed over four years, about £2.3m per half, and amortisation of the £38.1m of acquired intangibles comes on top. Statutory H2 profit will therefore be lower than shown.</t>
  </si>
  <si>
    <t>8. Segment margins use flow-through margins (change in operating profit ÷ change in revenue, from my margin analysis and AR2024 for Financial's decline year). Margins therefore move with the revenue assumptions. Support's flow-through was negative in both periods observed, so faster Support growth lowers its margin.</t>
  </si>
  <si>
    <t>9. Average invested capital (row 46) uses three points (Dec 2025, Jun 2026, Dec 2026E) so that the June 2026 step-up from acquisitions (371.0) is included. A two-point average would leave it out and overstate ROIC, by about 2.3pp in the Base case.</t>
  </si>
  <si>
    <t>10. FX uses the company's own hedged sensitivity from the 2025 Annual Report (Note 27 p.93: a 5% stronger USD adds £5.6m to PBT, a 5% weaker USD takes off £5.1m), which is about 1.24% / 1.13% of FY2025 underlying PBT (£90.6m) per 1% move. It is applied to an assumed GBP/USD path for H2. This is an approximation: the company's figure is a translation effect in £, applied here as a % of H2 profit.</t>
  </si>
  <si>
    <t>11. Bear H2 2026E group margin (about 9.6%) is below the lowest half-year margin reported (H1 2025: 32.7 ÷ 297.8 = 11.0%, INT26 p.19). FY2026E Bear is higher (about 11.8%) because it includes the record H1 2026. There is no separate severe-downside case.</t>
  </si>
  <si>
    <t>12. Acquisitions: Link and Serpac (both H1 2026) are in Broking (INT26 p.5). Financial's H1 2026 growth was organic capital-markets work (INT26 p.5, p.10). Financial's Bear flow-through (93.3%) is its own FY23→FY24 figure. Broking growth is split into an organic part and the effect of owning Link for a full half.</t>
  </si>
  <si>
    <t>13. Scenarios: growth and margins are set by segment. Broking is adjusted for the Yemen–Saudi escalation: Bull assumes the September freight-rate spike continues; Bear assumes de-escalation.</t>
  </si>
  <si>
    <t>14. Link's revenue (£8.6m in H1 2026) is not split by segment in the filings. The model puts all of it in Broking, because the interim report discusses Link in the Broking section and its main businesses are commodity brokers. If Link Data Services is reported in Research, the effect on Broking growth roughly cancels out, but Research's growth may be slightly too high.</t>
  </si>
  <si>
    <t>15. Scale effects: a constant flow-through rate already means margins rise with revenue, because each extra £ adds the same profit (Broking 20.9% in H1 2026 → 21.5% Base → 21.9% Bull). The model does not let the flow-through rate itself change with scale. The evidence is mixed: Research kept more of a bigger increase (60.0% at +15% vs 40.7% at +11%), Financial kept less (37.5% at +66% vs 44.0% at +41%), and Broking kept 26.1% of a +39.6% increase, partly because hiring and National Insurance on share awards cut its margin by about 3pp (INT26 p.6). So no adjustment is made; Bull margins may be slightly low if scale economies exist.</t>
  </si>
  <si>
    <t>16. All corrections and version changes are listed in the Correction &amp; Review Log (#1–#48).</t>
  </si>
  <si>
    <t>H2 2026E Segment Snapshot (£m) — live links to rows 52-56 of each scenario sheet</t>
  </si>
  <si>
    <t>Segment / metric</t>
  </si>
  <si>
    <t>H1 2026A 📄</t>
  </si>
  <si>
    <t>Broking — H2 Revenue</t>
  </si>
  <si>
    <t>Broking — H2 Op Profit</t>
  </si>
  <si>
    <t>Broking — H2 Margin</t>
  </si>
  <si>
    <t>Financial — H2 Revenue</t>
  </si>
  <si>
    <t>Financial — H2 Op Profit</t>
  </si>
  <si>
    <t>Financial — H2 Margin</t>
  </si>
  <si>
    <t>Support — H2 Revenue</t>
  </si>
  <si>
    <t>Support — H2 Op Profit</t>
  </si>
  <si>
    <t>Support — H2 Margin</t>
  </si>
  <si>
    <t>Research — H2 Revenue</t>
  </si>
  <si>
    <t>Research — H2 Op Profit</t>
  </si>
  <si>
    <t>Research — H2 Margin</t>
  </si>
  <si>
    <t>Total Segment — H2 Revenue</t>
  </si>
  <si>
    <t>Total Segment — H2 Op Profit</t>
  </si>
  <si>
    <t>Total Segment — H2 Margin</t>
  </si>
  <si>
    <t>Head office cost, H2</t>
  </si>
  <si>
    <t>FX effect on op. profit (%)</t>
  </si>
  <si>
    <t>Group op. profit H2 (before acq. costs)</t>
  </si>
  <si>
    <t>Base case: sensitivity to the Layer 2 (escalation) weight (links to Base Case rows 119-137)</t>
  </si>
  <si>
    <t>Layer 2 weight</t>
  </si>
  <si>
    <t>H2 operating profit (£m)</t>
  </si>
  <si>
    <t>H2 vs H1 2026A</t>
  </si>
  <si>
    <t>FY operating profit (£m)</t>
  </si>
  <si>
    <t>Escalation-dependent H2 op. profit (0.5 vs 0)</t>
  </si>
  <si>
    <t>Base uses 0.5 because the September escalation is judged to be about half the size of the H1 shock (the closure of the Strait of Hormuz, INT26 p.4). Bull's 1.0 assumes it becomes as large, as an upper bound. No data sets the weight exactly, so the full range is shown.</t>
  </si>
  <si>
    <t>Bull vs Base — H2 2026E operating profit bridge (£m, live formulas; FX shown separately)</t>
  </si>
  <si>
    <t>Driver</t>
  </si>
  <si>
    <t>Base</t>
  </si>
  <si>
    <t>Bull</t>
  </si>
  <si>
    <t>Δ Bull − Base</t>
  </si>
  <si>
    <t>Share of gap</t>
  </si>
  <si>
    <t>Broking segment op. profit (growth 13.2% → 24.3%, Layer 2 weight 0.5 → 1.0)</t>
  </si>
  <si>
    <t>Financial segment op. profit (growth 0% → 8%)</t>
  </si>
  <si>
    <t>Support segment op. profit</t>
  </si>
  <si>
    <t>Research segment op. profit</t>
  </si>
  <si>
    <t>Head office cost (same in both)</t>
  </si>
  <si>
    <t>Extra H2 credit loss charge (Bull only)</t>
  </si>
  <si>
    <t>FX translation (op. profit before FX × FX %; GBP/USD 1.31 → 1.27)</t>
  </si>
  <si>
    <t>Group op. profit H2 2026E (= sum; ties to row 53)</t>
  </si>
  <si>
    <t>Check: bridge total minus row 53 (should be 0)</t>
  </si>
  <si>
    <t>Reading: about 72% of the £12.6m Bull − Base gap comes from Broking, i.e. mainly from one judgment — the Layer 2 weight (0.5 vs 1.0). FX adds about £3.3m (a weaker pound on a larger profit base) and the Bull-only credit loss charge takes back £1.8m. Broking's flow-through is asymmetric: 0.261 on growth (Base, Bull) but 0.538 on decline (Bear), so each £1 of lost Broking revenue costs about twice as much profit as £1 of extra revenue adds. Downside risk is therefore larger than upside for the same revenue move.</t>
  </si>
  <si>
    <t>This model will be updated when H2 2026 actuals are released. An H1 2027 extension is also planned.</t>
  </si>
  <si>
    <t>Clarkson PLC (LSE: CKN) — H2 2026E / FY2026E Scenario Model: Base Case</t>
  </si>
  <si>
    <t>£m unless noted. Blue = input. Black = formula. Green = link to another sheet.</t>
  </si>
  <si>
    <t>Tags: 📄 = from the filings (page given in the comment); 🔵 = my assumption; 🔢 = calculation; 🌐 = news source, not in the filings.</t>
  </si>
  <si>
    <t>P&amp;L Forecast (£m)</t>
  </si>
  <si>
    <t>Item</t>
  </si>
  <si>
    <t>Assumption</t>
  </si>
  <si>
    <t>H2 2026E</t>
  </si>
  <si>
    <t>FY2026E</t>
  </si>
  <si>
    <t>Note / Source</t>
  </si>
  <si>
    <t>H2 Revenue = Total Segment H2 2026E Revenue (row 56) — see segment detail below</t>
  </si>
  <si>
    <t>H2 revenue growth vs. H1 2026 (computed, from segment roll-up)</t>
  </si>
  <si>
    <t>Underlying Operating Margin, H2 (computed, from segment + HO + FX roll-up)</t>
  </si>
  <si>
    <t>From row 71 (group operating profit after head office costs, FX and extra credit losses). Before acquisition-related costs, like the H1 figure of 56.8 (Summary note 7).</t>
  </si>
  <si>
    <t>Implied Operating Margin % (check)</t>
  </si>
  <si>
    <t>Net Finance Income (🔵 held constant — see model notes)</t>
  </si>
  <si>
    <t>£4.7m = H1 2026 underlying PBT (61.5) − underlying operating profit (56.8). This matches the income statement: finance income 6.0, finance costs (1.7) and pension income 0.4 (INT26 p.19). Held flat in H2 and in all scenarios to avoid a circular link with cash (Summary note 2).</t>
  </si>
  <si>
    <t>Underlying Profit Before Tax</t>
  </si>
  <si>
    <t>Tax rate (📄 INT26 Note 5 p.25: expected FY2026 rate excluding acquisition-related costs)</t>
  </si>
  <si>
    <t>Tax</t>
  </si>
  <si>
    <t>NOPAT (operating basis, for ROIC only)</t>
  </si>
  <si>
    <t>Receivables, DSO &amp; Credit Losses (£m / days)</t>
  </si>
  <si>
    <t>Jun 2026A 📄</t>
  </si>
  <si>
    <t>Dec 2026E</t>
  </si>
  <si>
    <t>Real DSO (days, ex-T+2 settlement)</t>
  </si>
  <si>
    <t>Same in all scenarios, at the H1 2026 actual: 184.6 ÷ 827.0 × 365 = 81.47 days (ex-settlement receivables ÷ annualised H1 revenue). There is no evidence that collection differs by scenario.</t>
  </si>
  <si>
    <t>T+2 Settlement Accounts (🔢 = Jun 2026A × (1 + Financial H2 growth, D53))</t>
  </si>
  <si>
    <t>The £84.2m of T+2 settlement balances sit in the Financial division and usually settle two days after the trade (INT26 Note 10 p.29). They are matched by an £84.1m payable, so they are a pass-through, not a credit risk. The balance grows with Financial H2 revenue (D53).</t>
  </si>
  <si>
    <t>Ex-settlement receivables (trade and other receivables less T+2; the interim balance sheet does not split trade and other)</t>
  </si>
  <si>
    <t>Dec26E uses FY2026E revenue (E6) — DSO convention per report §5-1</t>
  </si>
  <si>
    <t>Total Current Receivables</t>
  </si>
  <si>
    <t>Surface DSO (days, check)</t>
  </si>
  <si>
    <t>ECL Allowance, opening balance</t>
  </si>
  <si>
    <t>H2 Net Impairment Loss / ECL charge (🔵 assumption)</t>
  </si>
  <si>
    <t>ECL Allowance, closing balance</t>
  </si>
  <si>
    <t>Allowance / Ex-Settlement Receivables (coverage)</t>
  </si>
  <si>
    <t>Cash Flow &amp; ROIC (£m)</t>
  </si>
  <si>
    <t>Net Cash &amp; Available Funds, opening</t>
  </si>
  <si>
    <t>H2 operating cash flow (🔢 = H2 op. profit × B34 − change in ex-settlement receivables, D22 − C22)</t>
  </si>
  <si>
    <t>Formula: D9 × B34 − (D22 − C22). B34 is the H2 2025 conversion before working capital (about 1.25x, row 115). T+2 balances (row 21) are left out because they are matched by payables (INT26 Note 10 p.29).</t>
  </si>
  <si>
    <t>H2 CAPEX (% of H2 revenue, 🔵 assumption)</t>
  </si>
  <si>
    <t>H2 M&amp;A spend (🔵 assumption)</t>
  </si>
  <si>
    <t>H2 Dividend paid (📄 disclosed: 2026 interim 35p = £10.8m)</t>
  </si>
  <si>
    <t>H2 ESOP buybacks (📄 anchored to H2 2025 actual, row 102)</t>
  </si>
  <si>
    <t>H2 Lease principal repayment (📄 held at H1 2026A actual)</t>
  </si>
  <si>
    <t>Net Cash &amp; Available Funds, closing</t>
  </si>
  <si>
    <t>Net Assets, opening (derived: Invested Capital + Net Cash)</t>
  </si>
  <si>
    <t>Simplified: excludes OCI/FX/NCI — see model notes</t>
  </si>
  <si>
    <t>Net Assets, closing (simplified roll-forward)</t>
  </si>
  <si>
    <t>Invested Capital, opening (Jun 2026A)</t>
  </si>
  <si>
    <t>Invested Capital, closing (Dec 2026E)</t>
  </si>
  <si>
    <t>Invested Capital, FY2025 closing (anchor)</t>
  </si>
  <si>
    <t>Average invested capital, FY2026 (three points: Dec 2025, Jun 2026, Dec 2026E)</t>
  </si>
  <si>
    <t>ROIC FY2026E (= FY NOPAT ÷ Average Invested Capital)</t>
  </si>
  <si>
    <t>Segment revenue and operating profit, H2 2026E (flow-through margin method)</t>
  </si>
  <si>
    <t>Segment</t>
  </si>
  <si>
    <t>H1 2026A Revenue 📄</t>
  </si>
  <si>
    <t>H1 2026A Op Profit 📄</t>
  </si>
  <si>
    <t>H2 Growth % 🔵</t>
  </si>
  <si>
    <t>Flow-through Margin % (📄 source)</t>
  </si>
  <si>
    <t>ΔRevenue</t>
  </si>
  <si>
    <t>ΔOp Profit</t>
  </si>
  <si>
    <t>H2 2026E Revenue</t>
  </si>
  <si>
    <t>H2 2026E Op Profit</t>
  </si>
  <si>
    <t>H2 2026E Margin %</t>
  </si>
  <si>
    <t>Broking</t>
  </si>
  <si>
    <t>Financial</t>
  </si>
  <si>
    <t>Support</t>
  </si>
  <si>
    <t>Research</t>
  </si>
  <si>
    <t>Total Segment</t>
  </si>
  <si>
    <t>Head Office Costs &amp; FX Overlay (Group-Level, applied once after segment roll-up)</t>
  </si>
  <si>
    <t>H1 2026A Head Office Cost (📄 interim Note 3)</t>
  </si>
  <si>
    <t>H2 Head Office Cost growth vs H1 2026A (🔵 assumption)</t>
  </si>
  <si>
    <t>H2 2026E Head Office Cost</t>
  </si>
  <si>
    <t>Total Segment Operating Profit, H2 2026E (= I56)</t>
  </si>
  <si>
    <t>Group Operating Profit before FX, H2 2026E (before acquisition-related costs)</t>
  </si>
  <si>
    <t>Extra H2 credit loss charge vs H1 2026 (🔢 = −(B26 − C65); C65 = H1 2026 net impairment losses, £7.7m, INT26 p.19)</t>
  </si>
  <si>
    <t>GBP/USD H1 2026 average (📄 interim results presentation p.5)</t>
  </si>
  <si>
    <t>GBP/USD H2 2026E rate path assumption (🔵)</t>
  </si>
  <si>
    <t>Implied USD move vs H1 2026A avg (%)</t>
  </si>
  <si>
    <t>FX sensitivity: % change in profit per 1% USD move (📄 AR2025 Note 27, rows 90-94)</t>
  </si>
  <si>
    <t>FX effect on Group Operating Profit (%)</t>
  </si>
  <si>
    <t>Group operating profit, H2 2026E (before acquisition-related costs; after FX and extra credit losses)</t>
  </si>
  <si>
    <t>Financial H2 growth is 0%. H1 2026 Financial revenue (£48.1m, +66% YoY) was a record half (INT26 p.10: 'a record period for the division'; INT26 p.5: revenue 'approaching the level achieved across the whole of the prior year'), so it is held flat rather than grown further. Financial's own H2 outlook is positive (INT26 p.10: 'Activity levels have remained healthy entering the second half'). This is not based on the Board's group-level comment on H2 weighting.</t>
  </si>
  <si>
    <t>Two-layer Broking H2 growth (feeds D52)</t>
  </si>
  <si>
    <t>Layer 1 = in line with the Board's guidance of 31 July 2026 (INT26 p.1, p.6: 'the usual second-half weighting is unlikely this year'; Note 2.4: not significantly seasonal). Layer 2 = the Yemen–Saudi escalation from 9 September 2026, after the Board's statement.</t>
  </si>
  <si>
    <t>H1 2025 Broking revenue (📄 AR2025/INT26 comparatives)</t>
  </si>
  <si>
    <t>222.2 = H1 2025 Broking revenue (INT26 p.7: 'Revenue: £310.3m (2025: £222.2m)'; INT26 Note 3 p.25). Not to be confused with H2 2025 (253.8 = FY 476.0 − H1 222.2; 2025 Prelim Results p.25).</t>
  </si>
  <si>
    <t>Link H1 2026 revenue contribution (📄 INT26 Note 8)</t>
  </si>
  <si>
    <t>Link days owned in H1 2026 (📄 revenue 'for the period from 18 March 2026', INT26 Note 8 p.28; 18 March to 30 June, counting both ends)</t>
  </si>
  <si>
    <t>H2 2026 total days (🔢 calendar, 1 Jul – 31 Dec 2026 inclusive)</t>
  </si>
  <si>
    <t>Days of H2 affected by the Yemen–Saudi escalation (🌐 start date from news: 9 Sep to 31 Dec 2026, counting both ends)</t>
  </si>
  <si>
    <t>H1 organic Broking growth, YoY, excluding Link (🔢 = (B52 − Link revenue) ÷ H1 2025 Broking revenue − 1)</t>
  </si>
  <si>
    <t>Link revenue for a full H2 (🔢 = Link H1 revenue ÷ days owned × H2 days)</t>
  </si>
  <si>
    <t>Link annualisation, pp of H1 2026A Broking revenue (🔢)</t>
  </si>
  <si>
    <t>Escalation-affected fraction of H2 (🔢 = affected days ÷ H2 days)</t>
  </si>
  <si>
    <t>Layer 1 — Board-consistent H2 growth (🔢 = 0% organic + Link annualisation)</t>
  </si>
  <si>
    <t>Layer 2 — escalation overlay (🔵 weight B86 = 0.5: the September escalation is taken as about half the size of the H1 shock, the closure of the Strait of Hormuz)</t>
  </si>
  <si>
    <t>Broking H2 growth % — Layer 1 + Layer 2 (feeds D52)</t>
  </si>
  <si>
    <t>Source inputs: FX sensitivity and H2 cash-flow anchors</t>
  </si>
  <si>
    <t>AR2025 Note 27: effect on PBT of a 5% USD strengthening (£m) 📄 AR2025 p.93</t>
  </si>
  <si>
    <t>AR2025 Note 27: effect on PBT of a 5% USD weakening (£m, absolute) 📄 AR2025 p.93</t>
  </si>
  <si>
    <t>FY2025 underlying profit before tax (£m) 📄 PRE25 p.1</t>
  </si>
  <si>
    <t>Sensitivity per 1% USD strengthening (% of PBT) 🔢 = C90 ÷ C92 ÷ 5 × 100</t>
  </si>
  <si>
    <t>Sensitivity per 1% USD weakening (% of PBT) 🔢 = C91 ÷ C92 ÷ 5 × 100</t>
  </si>
  <si>
    <t>H2 2025 implied cash conversion (anchor for B34 and D38)</t>
  </si>
  <si>
    <t>Item (£m, cash outflows shown positive)</t>
  </si>
  <si>
    <t>FY2025 📄 PRE25 p.23</t>
  </si>
  <si>
    <t>H1 2025 📄 INT26 p.22</t>
  </si>
  <si>
    <t>H2 2025 🔢 = FY − H1</t>
  </si>
  <si>
    <t>Purchase of property, plant and equipment</t>
  </si>
  <si>
    <t>Purchase of intangible assets</t>
  </si>
  <si>
    <t>Acquisition of subsidiaries, net of cash acquired</t>
  </si>
  <si>
    <t>Dividends paid (to parent shareholders)</t>
  </si>
  <si>
    <t>ESOP shares acquired</t>
  </si>
  <si>
    <t>Principal elements of lease payments</t>
  </si>
  <si>
    <t>Operating profit before acquisition-related costs (📄 PRE25 p.25 / INT26 p.19)</t>
  </si>
  <si>
    <t>Net cash &amp; available funds, 30 Jun 2025 (📄 INT26 p.30)</t>
  </si>
  <si>
    <t>Net cash &amp; available funds, 31 Dec 2025 (📄 INT26 p.30)</t>
  </si>
  <si>
    <t>H2 2025 cash generated (🔢 = change in net cash + capex + M&amp;A + dividends + ESOP + lease payments, the same items the H2 2026E cash forecast deducts)</t>
  </si>
  <si>
    <t>H2 2025 conversion multiple as reported (🔢 = row 107 ÷ H2 2025 operating profit); for reference, B34 uses row 115</t>
  </si>
  <si>
    <t>Why H2 2025: 'net cash and available funds' is measured after deducting accrued bonuses (INT26 p.30), so the timing of bonus payments does not move it. H2 2025 is the only second half reported on the same basis. The multiple includes interest, tax, FX on cash, NCI flows and share issues, which the forecast does not show separately. It is the same in all scenarios; each scenario's change in receivables is deducted separately (rows 111-116, D34). H1 2026 on the same basis gives about 0.55x (a half with large acquisitions), so 1.22x is not a floor.</t>
  </si>
  <si>
    <t>H2 2025 working capital: removes H2 2025's own change in receivables from the multiple</t>
  </si>
  <si>
    <t>Increase in trade and other receivables, cash flow statement (C = FY2025, PRE25 p.23; D = H1 2025, INT26 p.22)</t>
  </si>
  <si>
    <t>T+2 settlement balances in trade receivables (C = 31 Dec 2025, D = 30 Jun 2025; INT26 Note 10 p.29)</t>
  </si>
  <si>
    <t>H2 2025 increase in ex-settlement receivables (🔢 = E112 − E113; T+2 balances are matched by payables, so they do not affect cash)</t>
  </si>
  <si>
    <t>H2 2025 conversion multiple before working capital (🔢 = (E107 + E114) ÷ E104), used in B34</t>
  </si>
  <si>
    <t>H2 2026E operating cash flow (D34) = H2 operating profit × E115 (about 1.25x) − the change in ex-settlement receivables (D22 − C22), so each scenario's build or release of receivables affects cash. In H2 2025 these receivables hardly moved (+£1.4m: trade and other receivables rose £45.3m, of which £43.9m was T+2 balances), so E115 is close to the reported 1.22x. T+2 balances are left out in both periods because they are matched by payables (£84.2m vs £84.1m at 30 June 2026). Limitation: the multiple rests on one half-year, and payables and the bonus accrual are not modelled by scenario.</t>
  </si>
  <si>
    <t>Base case: sensitivity to the Layer 2 (escalation) weight. The column with the same weight as B86 matches the model (check in row 136).</t>
  </si>
  <si>
    <t>Broking H2 growth (🔢 = C85 + C81 × C84 × weight)</t>
  </si>
  <si>
    <t>H2 revenue (🔢 = D6 + B52 × (growth − D52))</t>
  </si>
  <si>
    <t>FY revenue</t>
  </si>
  <si>
    <t>H2 operating profit (🔢 = D71 + ΔBroking revenue × E52 × (1 + FX))</t>
  </si>
  <si>
    <t>H2 operating profit vs H1 2026A</t>
  </si>
  <si>
    <t>FY operating profit</t>
  </si>
  <si>
    <t>FY operating margin</t>
  </si>
  <si>
    <t>FY NOPAT</t>
  </si>
  <si>
    <t>H2 underlying net income</t>
  </si>
  <si>
    <t>Change in ex-settlement receivables, Jun→Dec 2026E</t>
  </si>
  <si>
    <t>H2 operating cash flow</t>
  </si>
  <si>
    <t>Net cash &amp; available funds, Dec 2026E</t>
  </si>
  <si>
    <t>Net assets, Dec 2026E</t>
  </si>
  <si>
    <t>Invested capital, Dec 2026E</t>
  </si>
  <si>
    <t>Average invested capital, FY2026</t>
  </si>
  <si>
    <t>Check: model result minus the matching column (H2 op. profit, ROIC); should be 0</t>
  </si>
  <si>
    <t>H2 operating profit changes in a straight line with the weight (about £4.6m per 0.25). Everything else stays at the Base inputs. B137 = H2 operating profit that comes from the escalation (Base weight vs weight 0).</t>
  </si>
  <si>
    <t>Clarkson PLC (LSE: CKN) — H2 2026E / FY2026E Scenario Model: Bull Case</t>
  </si>
  <si>
    <t>Financial H2 growth is +8%: the actual FY2025 change from H1 to H2 (£28.9m to £31.2m, 2025 Prelim Results p.25), applied to the higher H1 2026 base.</t>
  </si>
  <si>
    <t>Layer 2 — escalation overlay (🔵 weight B86 = 1.0: upper bound, the September escalation becomes as large as the H1 Hormuz closure)</t>
  </si>
  <si>
    <t>Clarkson PLC (LSE: CKN) — H2 2026E / FY2026E Scenario Model: Bear Case</t>
  </si>
  <si>
    <t>Bear does not use the two layers. It follows the Board's downside path (the Strait reopens, trapped vessels are released and rates normalise), so there is no escalation overlay: Broking −8%, Financial −3%.</t>
  </si>
  <si>
    <t>Clarkson PLC — FY2026E Scenario Comparison Charts</t>
  </si>
  <si>
    <t>Data below links live to the Summary sheet.</t>
  </si>
  <si>
    <t>Revenue (£m)</t>
  </si>
  <si>
    <t>Profitability (£m)</t>
  </si>
  <si>
    <t>Scenario</t>
  </si>
  <si>
    <t>Operating Profit</t>
  </si>
  <si>
    <t>Net Income</t>
  </si>
  <si>
    <t>Margins &amp; Returns (%)</t>
  </si>
  <si>
    <t>Operating Margin %</t>
  </si>
  <si>
    <t>ROIC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</si>
</sst>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quot;(£&quot;#,##0.0\);\-"/>
    <numFmt numFmtId="165" formatCode="0.0%;\(0.0%\);\-"/>
    <numFmt numFmtId="166" formatCode="0.0&quot; d&quot;"/>
    <numFmt numFmtId="167" formatCode="0.00\x"/>
    <numFmt numFmtId="168" formatCode="0.0000"/>
    <numFmt numFmtId="169" formatCode="0.000"/>
    <numFmt numFmtId="170" formatCode="#,##0.0;\(#,##0.0\);\-"/>
    <numFmt numFmtId="171" formatCode="0.00%;\(0.00%\);\-"/>
    <numFmt numFmtId="172" formatCode="0.000000"/>
    <numFmt numFmtId="173" formatCode="\£#,##0.0"/>
    <numFmt numFmtId="174" formatCode="0.0%"/>
    <numFmt numFmtId="175" formatCode="\£#,##0.00;&quot;(£&quot;#,##0.00\);\-"/>
  </numFmts>
  <fonts count="36" x14ac:knownFonts="1">
    <font>
      <sz val="11"/>
      <color theme="1"/>
      <name val="Calibri"/>
      <family val="2"/>
      <charset val="1"/>
    </font>
    <font>
      <b/>
      <sz val="14"/>
      <color rgb="FFFFFFFF"/>
      <name val="Arial"/>
      <family val="2"/>
      <charset val="1"/>
    </font>
    <font>
      <i/>
      <sz val="9"/>
      <color rgb="FF808080"/>
      <name val="Arial"/>
      <family val="2"/>
      <charset val="1"/>
    </font>
    <font>
      <b/>
      <sz val="11"/>
      <color rgb="FFFFFFFF"/>
      <name val="Arial"/>
      <family val="2"/>
      <charset val="1"/>
    </font>
    <font>
      <b/>
      <sz val="11"/>
      <name val="Arial"/>
      <family val="2"/>
      <charset val="1"/>
    </font>
    <font>
      <sz val="11"/>
      <color rgb="FF000000"/>
      <name val="Arial"/>
      <family val="2"/>
      <charset val="1"/>
    </font>
    <font>
      <sz val="11"/>
      <color rgb="FF008000"/>
      <name val="Arial"/>
      <family val="2"/>
      <charset val="1"/>
    </font>
    <font>
      <i/>
      <sz val="9"/>
      <color rgb="FF808080"/>
      <name val="Arial"/>
      <family val="2"/>
    </font>
    <font>
      <b/>
      <sz val="11"/>
      <color rgb="FFFFFFFF"/>
      <name val="Cambria"/>
      <family val="1"/>
    </font>
    <font>
      <b/>
      <sz val="11"/>
      <name val="Cambria"/>
      <family val="1"/>
    </font>
    <font>
      <sz val="11"/>
      <color rgb="FF0000FF"/>
      <name val="Cambria"/>
      <family val="1"/>
    </font>
    <font>
      <b/>
      <sz val="11"/>
      <color rgb="FF0000FF"/>
      <name val="Cambria"/>
      <family val="1"/>
    </font>
    <font>
      <b/>
      <sz val="11"/>
      <color rgb="FF000000"/>
      <name val="Cambria"/>
      <family val="1"/>
    </font>
    <font>
      <b/>
      <sz val="11"/>
      <color rgb="FF008000"/>
      <name val="Cambria"/>
      <family val="1"/>
    </font>
    <font>
      <sz val="11"/>
      <color rgb="FF000000"/>
      <name val="Cambria"/>
      <family val="1"/>
    </font>
    <font>
      <sz val="11"/>
      <color rgb="FF008000"/>
      <name val="Cambria"/>
      <family val="1"/>
    </font>
    <font>
      <sz val="9"/>
      <color rgb="FF808080"/>
      <name val="Cambria"/>
      <family val="1"/>
    </font>
    <font>
      <sz val="11"/>
      <color rgb="FF0000FF"/>
      <name val="Arial"/>
      <family val="2"/>
      <charset val="1"/>
    </font>
    <font>
      <b/>
      <sz val="11"/>
      <color rgb="FF000000"/>
      <name val="Arial"/>
      <family val="2"/>
      <charset val="1"/>
    </font>
    <font>
      <b/>
      <sz val="11"/>
      <color rgb="FF0000FF"/>
      <name val="Arial"/>
      <family val="2"/>
      <charset val="1"/>
    </font>
    <font>
      <sz val="11"/>
      <color rgb="FF000000"/>
      <name val="Arial"/>
      <family val="2"/>
    </font>
    <font>
      <b/>
      <sz val="11"/>
      <color rgb="FF000000"/>
      <name val="Arial"/>
      <family val="2"/>
    </font>
    <font>
      <b/>
      <sz val="11"/>
      <color rgb="FF2E75B6"/>
      <name val="Arial"/>
      <family val="2"/>
      <charset val="1"/>
    </font>
    <font>
      <b/>
      <sz val="10"/>
      <color rgb="FF000000"/>
      <name val="Cambria"/>
      <family val="1"/>
    </font>
    <font>
      <sz val="10"/>
      <color rgb="FF808080"/>
      <name val="Cambria"/>
      <family val="1"/>
    </font>
    <font>
      <b/>
      <sz val="11"/>
      <color rgb="FF548235"/>
      <name val="Arial"/>
      <family val="2"/>
      <charset val="1"/>
    </font>
    <font>
      <b/>
      <sz val="11"/>
      <color rgb="FFC00000"/>
      <name val="Arial"/>
      <family val="2"/>
      <charset val="1"/>
    </font>
    <font>
      <b/>
      <sz val="11"/>
      <color theme="1"/>
      <name val="Arial"/>
      <family val="2"/>
      <charset val="1"/>
    </font>
    <font>
      <sz val="11"/>
      <color rgb="FF008000"/>
      <name val="Calibri"/>
      <family val="2"/>
      <charset val="1"/>
    </font>
    <font>
      <b/>
      <sz val="11"/>
      <color rgb="FFFFFFFF"/>
      <name val="Cambria"/>
      <family val="1"/>
    </font>
    <font>
      <b/>
      <sz val="11"/>
      <color rgb="FF000000"/>
      <name val="Cambria"/>
      <family val="1"/>
    </font>
    <font>
      <sz val="11"/>
      <color rgb="FF000000"/>
      <name val="Cambria"/>
      <family val="1"/>
    </font>
    <font>
      <sz val="11"/>
      <color rgb="FF008000"/>
      <name val="Cambria"/>
      <family val="1"/>
    </font>
    <font>
      <sz val="10"/>
      <color rgb="FF808080"/>
      <name val="Cambria"/>
      <family val="1"/>
    </font>
    <font>
      <sz val="9"/>
      <color rgb="FF808080"/>
      <name val="Cambria"/>
      <family val="1"/>
    </font>
    <font>
      <b/>
      <sz val="9"/>
      <color rgb="FF808080"/>
      <name val="Cambria"/>
      <family val="1"/>
    </font>
  </fonts>
  <fills count="9">
    <fill>
      <patternFill patternType="none"/>
    </fill>
    <fill>
      <patternFill patternType="gray125"/>
    </fill>
    <fill>
      <patternFill patternType="solid">
        <fgColor rgb="FF1F4E78"/>
        <bgColor rgb="FF003366"/>
      </patternFill>
    </fill>
    <fill>
      <patternFill patternType="solid">
        <fgColor rgb="FF2E75B6"/>
        <bgColor rgb="FF4F81BD"/>
      </patternFill>
    </fill>
    <fill>
      <patternFill patternType="solid">
        <fgColor rgb="FFD9E2F3"/>
        <bgColor rgb="FFD9D9D9"/>
      </patternFill>
    </fill>
    <fill>
      <patternFill patternType="solid">
        <fgColor rgb="FFF2F2F2"/>
        <bgColor rgb="FFFFFFFF"/>
      </patternFill>
    </fill>
    <fill>
      <patternFill patternType="solid">
        <fgColor rgb="FFFFFF00"/>
        <bgColor rgb="FFFFFF00"/>
      </patternFill>
    </fill>
    <fill>
      <patternFill patternType="solid">
        <fgColor rgb="FF2E75B6"/>
      </patternFill>
    </fill>
    <fill>
      <patternFill patternType="solid">
        <fgColor rgb="FFD9E2F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5">
    <xf numFmtId="0" fontId="0" fillId="0" borderId="0" xfId="0"/>
    <xf numFmtId="0" fontId="1" fillId="2" borderId="0" xfId="0" applyFont="1" applyFill="1"/>
    <xf numFmtId="0" fontId="2" fillId="0" borderId="0" xfId="0" applyFont="1"/>
    <xf numFmtId="0" fontId="3" fillId="3" borderId="0" xfId="0" applyFont="1" applyFill="1"/>
    <xf numFmtId="0" fontId="4" fillId="4" borderId="1" xfId="0" applyFont="1" applyFill="1" applyBorder="1"/>
    <xf numFmtId="0" fontId="5" fillId="0" borderId="0" xfId="0" applyFont="1"/>
    <xf numFmtId="164" fontId="6" fillId="0" borderId="1" xfId="0" applyNumberFormat="1" applyFont="1" applyBorder="1"/>
    <xf numFmtId="164" fontId="5" fillId="5" borderId="1" xfId="0" applyNumberFormat="1" applyFont="1" applyFill="1" applyBorder="1"/>
    <xf numFmtId="165" fontId="6" fillId="0" borderId="1" xfId="0" applyNumberFormat="1" applyFont="1" applyBorder="1"/>
    <xf numFmtId="165" fontId="5" fillId="5" borderId="1" xfId="0" applyNumberFormat="1" applyFont="1" applyFill="1" applyBorder="1"/>
    <xf numFmtId="166" fontId="6" fillId="0" borderId="1" xfId="0" applyNumberFormat="1" applyFont="1" applyBorder="1"/>
    <xf numFmtId="166" fontId="5" fillId="5" borderId="1" xfId="0" applyNumberFormat="1" applyFont="1" applyFill="1" applyBorder="1"/>
    <xf numFmtId="0" fontId="8" fillId="3" borderId="0" xfId="0" applyFont="1" applyFill="1"/>
    <xf numFmtId="0" fontId="9" fillId="4" borderId="0" xfId="0" applyFont="1" applyFill="1"/>
    <xf numFmtId="164" fontId="0" fillId="0" borderId="0" xfId="0" applyNumberFormat="1"/>
    <xf numFmtId="164" fontId="10" fillId="0" borderId="0" xfId="0" applyNumberFormat="1" applyFont="1"/>
    <xf numFmtId="165" fontId="0" fillId="0" borderId="0" xfId="0" applyNumberFormat="1"/>
    <xf numFmtId="165" fontId="10" fillId="0" borderId="0" xfId="0" applyNumberFormat="1" applyFont="1"/>
    <xf numFmtId="2" fontId="0" fillId="0" borderId="0" xfId="0" applyNumberFormat="1"/>
    <xf numFmtId="0" fontId="9" fillId="0" borderId="0" xfId="0" applyFont="1"/>
    <xf numFmtId="164" fontId="9" fillId="0" borderId="0" xfId="0" applyNumberFormat="1" applyFont="1"/>
    <xf numFmtId="164" fontId="11" fillId="0" borderId="0" xfId="0" applyNumberFormat="1" applyFont="1"/>
    <xf numFmtId="0" fontId="12" fillId="4" borderId="0" xfId="0" applyFont="1" applyFill="1"/>
    <xf numFmtId="2" fontId="13" fillId="4" borderId="0" xfId="0" applyNumberFormat="1" applyFont="1" applyFill="1"/>
    <xf numFmtId="0" fontId="14" fillId="0" borderId="0" xfId="0" applyFont="1"/>
    <xf numFmtId="164" fontId="15" fillId="0" borderId="0" xfId="0" applyNumberFormat="1" applyFont="1"/>
    <xf numFmtId="165" fontId="15" fillId="0" borderId="0" xfId="0" applyNumberFormat="1" applyFont="1"/>
    <xf numFmtId="0" fontId="12" fillId="0" borderId="0" xfId="0" applyFont="1"/>
    <xf numFmtId="164" fontId="13" fillId="0" borderId="0" xfId="0" applyNumberFormat="1" applyFont="1"/>
    <xf numFmtId="0" fontId="16" fillId="0" borderId="0" xfId="0" applyFont="1" applyAlignment="1">
      <alignment vertical="top" wrapText="1"/>
    </xf>
    <xf numFmtId="164" fontId="17" fillId="0" borderId="1" xfId="0" applyNumberFormat="1" applyFont="1" applyBorder="1"/>
    <xf numFmtId="164" fontId="14" fillId="0" borderId="1" xfId="0" applyNumberFormat="1" applyFont="1" applyBorder="1"/>
    <xf numFmtId="164" fontId="18" fillId="0" borderId="1" xfId="0" applyNumberFormat="1" applyFont="1" applyBorder="1"/>
    <xf numFmtId="165" fontId="14" fillId="0" borderId="1" xfId="0" applyNumberFormat="1" applyFont="1" applyBorder="1"/>
    <xf numFmtId="164" fontId="19" fillId="6" borderId="1" xfId="0" applyNumberFormat="1" applyFont="1" applyFill="1" applyBorder="1"/>
    <xf numFmtId="164" fontId="5" fillId="0" borderId="1" xfId="0" applyNumberFormat="1" applyFont="1" applyBorder="1"/>
    <xf numFmtId="0" fontId="16" fillId="0" borderId="0" xfId="0" applyFont="1"/>
    <xf numFmtId="165" fontId="19" fillId="6" borderId="1" xfId="0" applyNumberFormat="1" applyFont="1" applyFill="1" applyBorder="1"/>
    <xf numFmtId="166" fontId="12" fillId="0" borderId="1" xfId="0" applyNumberFormat="1" applyFont="1" applyBorder="1"/>
    <xf numFmtId="166" fontId="20" fillId="0" borderId="1" xfId="0" applyNumberFormat="1" applyFont="1" applyBorder="1"/>
    <xf numFmtId="166" fontId="5" fillId="0" borderId="1" xfId="0" applyNumberFormat="1" applyFont="1" applyBorder="1"/>
    <xf numFmtId="165" fontId="5" fillId="0" borderId="1" xfId="0" applyNumberFormat="1" applyFont="1" applyBorder="1"/>
    <xf numFmtId="167" fontId="21" fillId="0" borderId="1" xfId="0" applyNumberFormat="1" applyFont="1" applyBorder="1"/>
    <xf numFmtId="164" fontId="21" fillId="0" borderId="1" xfId="0" applyNumberFormat="1" applyFont="1" applyBorder="1"/>
    <xf numFmtId="165" fontId="22" fillId="0" borderId="1" xfId="0" applyNumberFormat="1" applyFont="1" applyBorder="1"/>
    <xf numFmtId="0" fontId="12" fillId="4" borderId="0" xfId="0" applyFont="1" applyFill="1" applyAlignment="1">
      <alignment vertical="top" wrapText="1"/>
    </xf>
    <xf numFmtId="165" fontId="14" fillId="0" borderId="0" xfId="0" applyNumberFormat="1" applyFont="1"/>
    <xf numFmtId="165" fontId="11" fillId="6" borderId="0" xfId="0" applyNumberFormat="1" applyFont="1" applyFill="1"/>
    <xf numFmtId="164" fontId="14" fillId="0" borderId="0" xfId="0" applyNumberFormat="1" applyFont="1"/>
    <xf numFmtId="164" fontId="12" fillId="4" borderId="0" xfId="0" applyNumberFormat="1" applyFont="1" applyFill="1"/>
    <xf numFmtId="165" fontId="12" fillId="4" borderId="0" xfId="0" applyNumberFormat="1" applyFont="1" applyFill="1"/>
    <xf numFmtId="168" fontId="10" fillId="0" borderId="0" xfId="0" applyNumberFormat="1" applyFont="1"/>
    <xf numFmtId="168" fontId="11" fillId="6" borderId="0" xfId="0" applyNumberFormat="1" applyFont="1" applyFill="1"/>
    <xf numFmtId="2" fontId="14" fillId="0" borderId="0" xfId="0" applyNumberFormat="1" applyFont="1"/>
    <xf numFmtId="169" fontId="14" fillId="0" borderId="0" xfId="0" applyNumberFormat="1" applyFont="1"/>
    <xf numFmtId="170" fontId="11" fillId="6" borderId="0" xfId="0" applyNumberFormat="1" applyFont="1" applyFill="1"/>
    <xf numFmtId="1" fontId="12" fillId="0" borderId="0" xfId="0" applyNumberFormat="1" applyFont="1"/>
    <xf numFmtId="171" fontId="14" fillId="0" borderId="0" xfId="0" applyNumberFormat="1" applyFont="1"/>
    <xf numFmtId="170" fontId="14" fillId="0" borderId="0" xfId="0" applyNumberFormat="1" applyFont="1"/>
    <xf numFmtId="2" fontId="11" fillId="6" borderId="0" xfId="0" applyNumberFormat="1" applyFont="1" applyFill="1"/>
    <xf numFmtId="171" fontId="12" fillId="0" borderId="0" xfId="0" applyNumberFormat="1" applyFont="1"/>
    <xf numFmtId="170" fontId="10" fillId="0" borderId="0" xfId="0" applyNumberFormat="1" applyFont="1"/>
    <xf numFmtId="0" fontId="23" fillId="4" borderId="0" xfId="0" applyFont="1" applyFill="1" applyAlignment="1">
      <alignment wrapText="1"/>
    </xf>
    <xf numFmtId="167" fontId="14" fillId="0" borderId="0" xfId="0" applyNumberFormat="1" applyFont="1"/>
    <xf numFmtId="167" fontId="12" fillId="4" borderId="0" xfId="0" applyNumberFormat="1" applyFont="1" applyFill="1"/>
    <xf numFmtId="2" fontId="11" fillId="4" borderId="0" xfId="0" applyNumberFormat="1" applyFont="1" applyFill="1"/>
    <xf numFmtId="164" fontId="12" fillId="0" borderId="0" xfId="0" applyNumberFormat="1" applyFont="1"/>
    <xf numFmtId="165" fontId="12" fillId="0" borderId="0" xfId="0" applyNumberFormat="1" applyFont="1"/>
    <xf numFmtId="0" fontId="24" fillId="0" borderId="0" xfId="0" applyFont="1"/>
    <xf numFmtId="172" fontId="24" fillId="0" borderId="0" xfId="0" applyNumberFormat="1" applyFont="1"/>
    <xf numFmtId="165" fontId="25" fillId="0" borderId="1" xfId="0" applyNumberFormat="1" applyFont="1" applyBorder="1"/>
    <xf numFmtId="165" fontId="26" fillId="0" borderId="1" xfId="0" applyNumberFormat="1" applyFont="1" applyBorder="1"/>
    <xf numFmtId="0" fontId="0" fillId="2" borderId="0" xfId="0" applyFill="1"/>
    <xf numFmtId="0" fontId="27" fillId="4" borderId="0" xfId="0" applyFont="1" applyFill="1"/>
    <xf numFmtId="173" fontId="28" fillId="0" borderId="0" xfId="0" applyNumberFormat="1" applyFont="1"/>
    <xf numFmtId="174" fontId="28" fillId="0" borderId="0" xfId="0" applyNumberFormat="1" applyFont="1"/>
    <xf numFmtId="0" fontId="30" fillId="8" borderId="0" xfId="0" applyFont="1" applyFill="1"/>
    <xf numFmtId="0" fontId="31" fillId="0" borderId="0" xfId="0" applyFont="1"/>
    <xf numFmtId="175" fontId="32" fillId="0" borderId="0" xfId="0" applyNumberFormat="1" applyFont="1"/>
    <xf numFmtId="175" fontId="31" fillId="0" borderId="0" xfId="0" applyNumberFormat="1" applyFont="1"/>
    <xf numFmtId="165" fontId="31" fillId="0" borderId="0" xfId="0" applyNumberFormat="1" applyFont="1"/>
    <xf numFmtId="0" fontId="30" fillId="0" borderId="0" xfId="0" applyFont="1"/>
    <xf numFmtId="175" fontId="30" fillId="0" borderId="0" xfId="0" applyNumberFormat="1" applyFont="1"/>
    <xf numFmtId="165" fontId="30" fillId="0" borderId="0" xfId="0" applyNumberFormat="1" applyFont="1"/>
    <xf numFmtId="0" fontId="33" fillId="0" borderId="0" xfId="0" applyFont="1"/>
    <xf numFmtId="172" fontId="33" fillId="0" borderId="0" xfId="0" applyNumberFormat="1" applyFont="1"/>
    <xf numFmtId="0" fontId="7" fillId="0" borderId="0" xfId="0" applyFont="1" applyAlignment="1">
      <alignment vertical="top" wrapText="1"/>
    </xf>
    <xf numFmtId="0" fontId="0" fillId="0" borderId="0" xfId="0"/>
    <xf numFmtId="0" fontId="34" fillId="0" borderId="0" xfId="0" applyFont="1" applyAlignment="1">
      <alignment vertical="top" wrapText="1"/>
    </xf>
    <xf numFmtId="0" fontId="1" fillId="2" borderId="0" xfId="0" applyFont="1" applyFill="1"/>
    <xf numFmtId="0" fontId="8" fillId="3" borderId="0" xfId="0" applyFont="1" applyFill="1"/>
    <xf numFmtId="0" fontId="16" fillId="0" borderId="0" xfId="0" applyFont="1" applyAlignment="1">
      <alignment vertical="top" wrapText="1"/>
    </xf>
    <xf numFmtId="0" fontId="3" fillId="3" borderId="0" xfId="0" applyFont="1" applyFill="1"/>
    <xf numFmtId="0" fontId="29" fillId="7" borderId="0" xfId="0" applyFont="1" applyFill="1"/>
    <xf numFmtId="0" fontId="35"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C0504D"/>
      <rgbColor rgb="FFF2F2F2"/>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BBB59"/>
      <rgbColor rgb="FFFFCC00"/>
      <rgbColor rgb="FFFF9900"/>
      <rgbColor rgb="FFFF6600"/>
      <rgbColor rgb="FF595959"/>
      <rgbColor rgb="FF969696"/>
      <rgbColor rgb="FF003366"/>
      <rgbColor rgb="FF4F81BD"/>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lang="en-US" sz="1400" b="0" strike="noStrike" spc="-1">
                <a:solidFill>
                  <a:srgbClr val="595959"/>
                </a:solidFill>
                <a:latin typeface="Calibri"/>
              </a:defRPr>
            </a:pPr>
            <a:r>
              <a:rPr lang="en-US" sz="1400" b="0" strike="noStrike" spc="-1">
                <a:solidFill>
                  <a:srgbClr val="595959"/>
                </a:solidFill>
                <a:latin typeface="Calibri"/>
              </a:rPr>
              <a:t>Revenue by Scenario (£m)</a:t>
            </a:r>
          </a:p>
        </c:rich>
      </c:tx>
      <c:overlay val="0"/>
      <c:spPr>
        <a:noFill/>
        <a:ln w="0">
          <a:noFill/>
          <a:prstDash val="solid"/>
        </a:ln>
      </c:spPr>
    </c:title>
    <c:autoTitleDeleted val="0"/>
    <c:plotArea>
      <c:layout/>
      <c:barChart>
        <c:barDir val="col"/>
        <c:grouping val="clustered"/>
        <c:varyColors val="0"/>
        <c:ser>
          <c:idx val="0"/>
          <c:order val="0"/>
          <c:tx>
            <c:strRef>
              <c:f>'Scenario Charts'!$B$5</c:f>
              <c:strCache>
                <c:ptCount val="1"/>
                <c:pt idx="0">
                  <c:v>Revenue</c:v>
                </c:pt>
              </c:strCache>
            </c:strRef>
          </c:tx>
          <c:spPr>
            <a:solidFill>
              <a:srgbClr val="2E75B6"/>
            </a:solidFill>
            <a:ln w="0">
              <a:noFill/>
              <a:prstDash val="solid"/>
            </a:ln>
          </c:spPr>
          <c:invertIfNegative val="0"/>
          <c:dLbls>
            <c:spPr>
              <a:noFill/>
              <a:ln>
                <a:noFill/>
              </a:ln>
              <a:effectLst/>
            </c:spPr>
            <c:txPr>
              <a:bodyPr wrap="square"/>
              <a:lstStyle/>
              <a:p>
                <a:pPr>
                  <a:defRPr sz="1000" b="0" strike="noStrike" spc="-1">
                    <a:solidFill>
                      <a:srgbClr val="000000"/>
                    </a:solidFill>
                    <a:latin typeface="Calibri"/>
                  </a:defRPr>
                </a:pPr>
                <a:endParaRPr lang="en-NO"/>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'Scenario Charts'!$A$6:$A$8</c:f>
              <c:strCache>
                <c:ptCount val="3"/>
                <c:pt idx="0">
                  <c:v>Base Case</c:v>
                </c:pt>
                <c:pt idx="1">
                  <c:v>Bull Case</c:v>
                </c:pt>
                <c:pt idx="2">
                  <c:v>Bear Case</c:v>
                </c:pt>
              </c:strCache>
            </c:strRef>
          </c:cat>
          <c:val>
            <c:numRef>
              <c:f>'Scenario Charts'!$B$6:$B$8</c:f>
              <c:numCache>
                <c:formatCode>\£#\ ##0.0</c:formatCode>
                <c:ptCount val="3"/>
                <c:pt idx="0">
                  <c:v>872.11982860506555</c:v>
                </c:pt>
                <c:pt idx="1">
                  <c:v>913.21318101965471</c:v>
                </c:pt>
                <c:pt idx="2">
                  <c:v>801.98599999999999</c:v>
                </c:pt>
              </c:numCache>
            </c:numRef>
          </c:val>
          <c:extLst>
            <c:ext xmlns:c16="http://schemas.microsoft.com/office/drawing/2014/chart" uri="{C3380CC4-5D6E-409C-BE32-E72D297353CC}">
              <c16:uniqueId val="{00000000-1EFF-514A-BD64-231A5E7F53A8}"/>
            </c:ext>
          </c:extLst>
        </c:ser>
        <c:dLbls>
          <c:showLegendKey val="0"/>
          <c:showVal val="0"/>
          <c:showCatName val="0"/>
          <c:showSerName val="0"/>
          <c:showPercent val="0"/>
          <c:showBubbleSize val="0"/>
        </c:dLbls>
        <c:gapWidth val="219"/>
        <c:overlap val="-27"/>
        <c:axId val="57857892"/>
        <c:axId val="84490890"/>
      </c:barChart>
      <c:catAx>
        <c:axId val="57857892"/>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spc="-1">
                <a:solidFill>
                  <a:srgbClr val="595959"/>
                </a:solidFill>
                <a:latin typeface="Calibri"/>
              </a:defRPr>
            </a:pPr>
            <a:endParaRPr lang="en-NO"/>
          </a:p>
        </c:txPr>
        <c:crossAx val="84490890"/>
        <c:crosses val="autoZero"/>
        <c:auto val="1"/>
        <c:lblAlgn val="ctr"/>
        <c:lblOffset val="100"/>
        <c:noMultiLvlLbl val="0"/>
      </c:catAx>
      <c:valAx>
        <c:axId val="84490890"/>
        <c:scaling>
          <c:orientation val="minMax"/>
          <c:min val="0"/>
        </c:scaling>
        <c:delete val="0"/>
        <c:axPos val="l"/>
        <c:majorGridlines>
          <c:spPr>
            <a:ln w="9360">
              <a:solidFill>
                <a:srgbClr val="D9D9D9"/>
              </a:solidFill>
              <a:prstDash val="solid"/>
              <a:round/>
            </a:ln>
          </c:spPr>
        </c:majorGridlines>
        <c:numFmt formatCode="\£#\ ##0.0" sourceLinked="0"/>
        <c:majorTickMark val="none"/>
        <c:minorTickMark val="none"/>
        <c:tickLblPos val="nextTo"/>
        <c:spPr>
          <a:ln w="9360">
            <a:noFill/>
            <a:prstDash val="solid"/>
          </a:ln>
        </c:spPr>
        <c:txPr>
          <a:bodyPr/>
          <a:lstStyle/>
          <a:p>
            <a:pPr>
              <a:defRPr sz="900" b="0" strike="noStrike" spc="-1">
                <a:solidFill>
                  <a:srgbClr val="595959"/>
                </a:solidFill>
                <a:latin typeface="Calibri"/>
              </a:defRPr>
            </a:pPr>
            <a:endParaRPr lang="en-NO"/>
          </a:p>
        </c:txPr>
        <c:crossAx val="57857892"/>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lang="en-US" sz="1400" b="0" strike="noStrike" spc="-1">
                <a:solidFill>
                  <a:srgbClr val="595959"/>
                </a:solidFill>
                <a:latin typeface="Calibri"/>
              </a:defRPr>
            </a:pPr>
            <a:r>
              <a:rPr lang="en-US" sz="1400" b="0" strike="noStrike" spc="-1">
                <a:solidFill>
                  <a:srgbClr val="595959"/>
                </a:solidFill>
                <a:latin typeface="Calibri"/>
              </a:rPr>
              <a:t>Profitability by Scenario (£m)</a:t>
            </a:r>
          </a:p>
        </c:rich>
      </c:tx>
      <c:overlay val="0"/>
      <c:spPr>
        <a:noFill/>
        <a:ln w="0">
          <a:noFill/>
          <a:prstDash val="solid"/>
        </a:ln>
      </c:spPr>
    </c:title>
    <c:autoTitleDeleted val="0"/>
    <c:plotArea>
      <c:layout/>
      <c:barChart>
        <c:barDir val="col"/>
        <c:grouping val="clustered"/>
        <c:varyColors val="0"/>
        <c:ser>
          <c:idx val="0"/>
          <c:order val="0"/>
          <c:tx>
            <c:strRef>
              <c:f>'Scenario Charts'!$E$5</c:f>
              <c:strCache>
                <c:ptCount val="1"/>
                <c:pt idx="0">
                  <c:v>Operating Profit</c:v>
                </c:pt>
              </c:strCache>
            </c:strRef>
          </c:tx>
          <c:spPr>
            <a:solidFill>
              <a:srgbClr val="4F81BD"/>
            </a:solidFill>
            <a:ln w="0">
              <a:noFill/>
              <a:prstDash val="solid"/>
            </a:ln>
          </c:spPr>
          <c:invertIfNegative val="0"/>
          <c:dLbls>
            <c:spPr>
              <a:noFill/>
              <a:ln>
                <a:noFill/>
              </a:ln>
              <a:effectLst/>
            </c:spPr>
            <c:txPr>
              <a:bodyPr wrap="square"/>
              <a:lstStyle/>
              <a:p>
                <a:pPr>
                  <a:defRPr sz="1000" b="0" strike="noStrike" spc="-1">
                    <a:solidFill>
                      <a:srgbClr val="000000"/>
                    </a:solidFill>
                    <a:latin typeface="Calibri"/>
                  </a:defRPr>
                </a:pPr>
                <a:endParaRPr lang="en-NO"/>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'Scenario Charts'!$D$6:$D$8</c:f>
              <c:strCache>
                <c:ptCount val="3"/>
                <c:pt idx="0">
                  <c:v>Base Case</c:v>
                </c:pt>
                <c:pt idx="1">
                  <c:v>Bull Case</c:v>
                </c:pt>
                <c:pt idx="2">
                  <c:v>Bear Case</c:v>
                </c:pt>
              </c:strCache>
            </c:strRef>
          </c:cat>
          <c:val>
            <c:numRef>
              <c:f>'Scenario Charts'!$E$6:$E$8</c:f>
              <c:numCache>
                <c:formatCode>\£#\ ##0.0</c:formatCode>
                <c:ptCount val="3"/>
                <c:pt idx="0">
                  <c:v>126.91050142909477</c:v>
                </c:pt>
                <c:pt idx="1">
                  <c:v>139.46181010103135</c:v>
                </c:pt>
                <c:pt idx="2">
                  <c:v>94.226902584505297</c:v>
                </c:pt>
              </c:numCache>
            </c:numRef>
          </c:val>
          <c:extLst>
            <c:ext xmlns:c16="http://schemas.microsoft.com/office/drawing/2014/chart" uri="{C3380CC4-5D6E-409C-BE32-E72D297353CC}">
              <c16:uniqueId val="{00000000-FBA3-034F-BAA8-8C8B6416A594}"/>
            </c:ext>
          </c:extLst>
        </c:ser>
        <c:ser>
          <c:idx val="1"/>
          <c:order val="1"/>
          <c:tx>
            <c:strRef>
              <c:f>'Scenario Charts'!$F$5</c:f>
              <c:strCache>
                <c:ptCount val="1"/>
                <c:pt idx="0">
                  <c:v>Net Income</c:v>
                </c:pt>
              </c:strCache>
            </c:strRef>
          </c:tx>
          <c:spPr>
            <a:solidFill>
              <a:srgbClr val="C0504D"/>
            </a:solidFill>
            <a:ln w="0">
              <a:noFill/>
              <a:prstDash val="solid"/>
            </a:ln>
          </c:spPr>
          <c:invertIfNegative val="0"/>
          <c:dLbls>
            <c:spPr>
              <a:noFill/>
              <a:ln>
                <a:noFill/>
              </a:ln>
              <a:effectLst/>
            </c:spPr>
            <c:txPr>
              <a:bodyPr wrap="square"/>
              <a:lstStyle/>
              <a:p>
                <a:pPr>
                  <a:defRPr sz="1000" b="0" strike="noStrike" spc="-1">
                    <a:solidFill>
                      <a:srgbClr val="000000"/>
                    </a:solidFill>
                    <a:latin typeface="Calibri"/>
                  </a:defRPr>
                </a:pPr>
                <a:endParaRPr lang="en-NO"/>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'Scenario Charts'!$D$6:$D$8</c:f>
              <c:strCache>
                <c:ptCount val="3"/>
                <c:pt idx="0">
                  <c:v>Base Case</c:v>
                </c:pt>
                <c:pt idx="1">
                  <c:v>Bull Case</c:v>
                </c:pt>
                <c:pt idx="2">
                  <c:v>Bear Case</c:v>
                </c:pt>
              </c:strCache>
            </c:strRef>
          </c:cat>
          <c:val>
            <c:numRef>
              <c:f>'Scenario Charts'!$F$6:$F$8</c:f>
              <c:numCache>
                <c:formatCode>\£#\ ##0.0</c:formatCode>
                <c:ptCount val="3"/>
                <c:pt idx="0">
                  <c:v>104.27753359325749</c:v>
                </c:pt>
                <c:pt idx="1">
                  <c:v>113.87928472728896</c:v>
                </c:pt>
                <c:pt idx="2">
                  <c:v>79.274580477146557</c:v>
                </c:pt>
              </c:numCache>
            </c:numRef>
          </c:val>
          <c:extLst>
            <c:ext xmlns:c16="http://schemas.microsoft.com/office/drawing/2014/chart" uri="{C3380CC4-5D6E-409C-BE32-E72D297353CC}">
              <c16:uniqueId val="{00000001-FBA3-034F-BAA8-8C8B6416A594}"/>
            </c:ext>
          </c:extLst>
        </c:ser>
        <c:ser>
          <c:idx val="2"/>
          <c:order val="2"/>
          <c:tx>
            <c:strRef>
              <c:f>'Scenario Charts'!$G$5</c:f>
              <c:strCache>
                <c:ptCount val="1"/>
                <c:pt idx="0">
                  <c:v>NOPAT</c:v>
                </c:pt>
              </c:strCache>
            </c:strRef>
          </c:tx>
          <c:spPr>
            <a:solidFill>
              <a:srgbClr val="9BBB59"/>
            </a:solidFill>
            <a:ln w="0">
              <a:noFill/>
              <a:prstDash val="solid"/>
            </a:ln>
          </c:spPr>
          <c:invertIfNegative val="0"/>
          <c:dLbls>
            <c:spPr>
              <a:noFill/>
              <a:ln>
                <a:noFill/>
              </a:ln>
              <a:effectLst/>
            </c:spPr>
            <c:txPr>
              <a:bodyPr wrap="square"/>
              <a:lstStyle/>
              <a:p>
                <a:pPr>
                  <a:defRPr sz="1000" b="0" strike="noStrike" spc="-1">
                    <a:solidFill>
                      <a:srgbClr val="000000"/>
                    </a:solidFill>
                    <a:latin typeface="Calibri"/>
                  </a:defRPr>
                </a:pPr>
                <a:endParaRPr lang="en-NO"/>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'Scenario Charts'!$D$6:$D$8</c:f>
              <c:strCache>
                <c:ptCount val="3"/>
                <c:pt idx="0">
                  <c:v>Base Case</c:v>
                </c:pt>
                <c:pt idx="1">
                  <c:v>Bull Case</c:v>
                </c:pt>
                <c:pt idx="2">
                  <c:v>Bear Case</c:v>
                </c:pt>
              </c:strCache>
            </c:strRef>
          </c:cat>
          <c:val>
            <c:numRef>
              <c:f>'Scenario Charts'!$G$6:$G$8</c:f>
              <c:numCache>
                <c:formatCode>\£#\ ##0.0</c:formatCode>
                <c:ptCount val="3"/>
                <c:pt idx="0">
                  <c:v>97.086533593257499</c:v>
                </c:pt>
                <c:pt idx="1">
                  <c:v>106.68828472728899</c:v>
                </c:pt>
                <c:pt idx="2">
                  <c:v>72.083580477146555</c:v>
                </c:pt>
              </c:numCache>
            </c:numRef>
          </c:val>
          <c:extLst>
            <c:ext xmlns:c16="http://schemas.microsoft.com/office/drawing/2014/chart" uri="{C3380CC4-5D6E-409C-BE32-E72D297353CC}">
              <c16:uniqueId val="{00000002-FBA3-034F-BAA8-8C8B6416A594}"/>
            </c:ext>
          </c:extLst>
        </c:ser>
        <c:dLbls>
          <c:showLegendKey val="0"/>
          <c:showVal val="0"/>
          <c:showCatName val="0"/>
          <c:showSerName val="0"/>
          <c:showPercent val="0"/>
          <c:showBubbleSize val="0"/>
        </c:dLbls>
        <c:gapWidth val="219"/>
        <c:overlap val="-27"/>
        <c:axId val="88269734"/>
        <c:axId val="97430294"/>
      </c:barChart>
      <c:catAx>
        <c:axId val="88269734"/>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spc="-1">
                <a:solidFill>
                  <a:srgbClr val="595959"/>
                </a:solidFill>
                <a:latin typeface="Calibri"/>
              </a:defRPr>
            </a:pPr>
            <a:endParaRPr lang="en-NO"/>
          </a:p>
        </c:txPr>
        <c:crossAx val="97430294"/>
        <c:crosses val="autoZero"/>
        <c:auto val="1"/>
        <c:lblAlgn val="ctr"/>
        <c:lblOffset val="100"/>
        <c:noMultiLvlLbl val="0"/>
      </c:catAx>
      <c:valAx>
        <c:axId val="97430294"/>
        <c:scaling>
          <c:orientation val="minMax"/>
          <c:min val="0"/>
        </c:scaling>
        <c:delete val="0"/>
        <c:axPos val="l"/>
        <c:majorGridlines>
          <c:spPr>
            <a:ln w="9360">
              <a:solidFill>
                <a:srgbClr val="D9D9D9"/>
              </a:solidFill>
              <a:prstDash val="solid"/>
              <a:round/>
            </a:ln>
          </c:spPr>
        </c:majorGridlines>
        <c:numFmt formatCode="\£#\ ##0.0" sourceLinked="0"/>
        <c:majorTickMark val="none"/>
        <c:minorTickMark val="none"/>
        <c:tickLblPos val="nextTo"/>
        <c:spPr>
          <a:ln w="9360">
            <a:noFill/>
            <a:prstDash val="solid"/>
          </a:ln>
        </c:spPr>
        <c:txPr>
          <a:bodyPr/>
          <a:lstStyle/>
          <a:p>
            <a:pPr>
              <a:defRPr sz="900" b="0" strike="noStrike" spc="-1">
                <a:solidFill>
                  <a:srgbClr val="595959"/>
                </a:solidFill>
                <a:latin typeface="Calibri"/>
              </a:defRPr>
            </a:pPr>
            <a:endParaRPr lang="en-NO"/>
          </a:p>
        </c:txPr>
        <c:crossAx val="88269734"/>
        <c:crosses val="autoZero"/>
        <c:crossBetween val="between"/>
      </c:valAx>
    </c:plotArea>
    <c:legend>
      <c:legendPos val="b"/>
      <c:overlay val="0"/>
      <c:spPr>
        <a:noFill/>
        <a:ln w="0">
          <a:noFill/>
          <a:prstDash val="solid"/>
        </a:ln>
      </c:spPr>
      <c:txPr>
        <a:bodyPr/>
        <a:lstStyle/>
        <a:p>
          <a:pPr>
            <a:defRPr sz="900" b="0" strike="noStrike" spc="-1">
              <a:solidFill>
                <a:srgbClr val="595959"/>
              </a:solidFill>
              <a:latin typeface="Calibri"/>
            </a:defRPr>
          </a:pPr>
          <a:endParaRPr lang="en-NO"/>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lang="en-US" sz="1400" b="0" strike="noStrike" spc="-1">
                <a:solidFill>
                  <a:srgbClr val="595959"/>
                </a:solidFill>
                <a:latin typeface="Calibri"/>
              </a:defRPr>
            </a:pPr>
            <a:r>
              <a:rPr lang="en-US" sz="1400" b="0" strike="noStrike" spc="-1">
                <a:solidFill>
                  <a:srgbClr val="595959"/>
                </a:solidFill>
                <a:latin typeface="Calibri"/>
              </a:rPr>
              <a:t>Margins &amp; Returns by Scenario (%)</a:t>
            </a:r>
          </a:p>
        </c:rich>
      </c:tx>
      <c:overlay val="0"/>
      <c:spPr>
        <a:noFill/>
        <a:ln w="0">
          <a:noFill/>
          <a:prstDash val="solid"/>
        </a:ln>
      </c:spPr>
    </c:title>
    <c:autoTitleDeleted val="0"/>
    <c:plotArea>
      <c:layout/>
      <c:barChart>
        <c:barDir val="col"/>
        <c:grouping val="clustered"/>
        <c:varyColors val="0"/>
        <c:ser>
          <c:idx val="0"/>
          <c:order val="0"/>
          <c:tx>
            <c:strRef>
              <c:f>'Scenario Charts'!$B$11</c:f>
              <c:strCache>
                <c:ptCount val="1"/>
                <c:pt idx="0">
                  <c:v>Operating Margin %</c:v>
                </c:pt>
              </c:strCache>
            </c:strRef>
          </c:tx>
          <c:spPr>
            <a:solidFill>
              <a:srgbClr val="4F81BD"/>
            </a:solidFill>
            <a:ln w="0">
              <a:noFill/>
              <a:prstDash val="solid"/>
            </a:ln>
          </c:spPr>
          <c:invertIfNegative val="0"/>
          <c:dLbls>
            <c:spPr>
              <a:noFill/>
              <a:ln>
                <a:noFill/>
              </a:ln>
              <a:effectLst/>
            </c:spPr>
            <c:txPr>
              <a:bodyPr wrap="square"/>
              <a:lstStyle/>
              <a:p>
                <a:pPr>
                  <a:defRPr sz="1000" b="0" strike="noStrike" spc="-1">
                    <a:solidFill>
                      <a:srgbClr val="000000"/>
                    </a:solidFill>
                    <a:latin typeface="Calibri"/>
                  </a:defRPr>
                </a:pPr>
                <a:endParaRPr lang="en-NO"/>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'Scenario Charts'!$A$12:$A$14</c:f>
              <c:strCache>
                <c:ptCount val="3"/>
                <c:pt idx="0">
                  <c:v>Base Case</c:v>
                </c:pt>
                <c:pt idx="1">
                  <c:v>Bull Case</c:v>
                </c:pt>
                <c:pt idx="2">
                  <c:v>Bear Case</c:v>
                </c:pt>
              </c:strCache>
            </c:strRef>
          </c:cat>
          <c:val>
            <c:numRef>
              <c:f>'Scenario Charts'!$B$12:$B$14</c:f>
              <c:numCache>
                <c:formatCode>0.0%</c:formatCode>
                <c:ptCount val="3"/>
                <c:pt idx="0">
                  <c:v>0.14551956883274289</c:v>
                </c:pt>
                <c:pt idx="1">
                  <c:v>0.15271550279783988</c:v>
                </c:pt>
                <c:pt idx="2">
                  <c:v>0.11749195445370031</c:v>
                </c:pt>
              </c:numCache>
            </c:numRef>
          </c:val>
          <c:extLst>
            <c:ext xmlns:c16="http://schemas.microsoft.com/office/drawing/2014/chart" uri="{C3380CC4-5D6E-409C-BE32-E72D297353CC}">
              <c16:uniqueId val="{00000000-D5DB-4D44-B660-594C8ECB50D5}"/>
            </c:ext>
          </c:extLst>
        </c:ser>
        <c:ser>
          <c:idx val="1"/>
          <c:order val="1"/>
          <c:tx>
            <c:strRef>
              <c:f>'Scenario Charts'!$C$11</c:f>
              <c:strCache>
                <c:ptCount val="1"/>
                <c:pt idx="0">
                  <c:v>ROIC %</c:v>
                </c:pt>
              </c:strCache>
            </c:strRef>
          </c:tx>
          <c:spPr>
            <a:solidFill>
              <a:srgbClr val="C0504D"/>
            </a:solidFill>
            <a:ln w="0">
              <a:noFill/>
              <a:prstDash val="solid"/>
            </a:ln>
          </c:spPr>
          <c:invertIfNegative val="0"/>
          <c:dLbls>
            <c:spPr>
              <a:noFill/>
              <a:ln>
                <a:noFill/>
              </a:ln>
              <a:effectLst/>
            </c:spPr>
            <c:txPr>
              <a:bodyPr wrap="square"/>
              <a:lstStyle/>
              <a:p>
                <a:pPr>
                  <a:defRPr sz="1000" b="0" strike="noStrike" spc="-1">
                    <a:solidFill>
                      <a:srgbClr val="000000"/>
                    </a:solidFill>
                    <a:latin typeface="Calibri"/>
                  </a:defRPr>
                </a:pPr>
                <a:endParaRPr lang="en-NO"/>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'Scenario Charts'!$A$12:$A$14</c:f>
              <c:strCache>
                <c:ptCount val="3"/>
                <c:pt idx="0">
                  <c:v>Base Case</c:v>
                </c:pt>
                <c:pt idx="1">
                  <c:v>Bull Case</c:v>
                </c:pt>
                <c:pt idx="2">
                  <c:v>Bear Case</c:v>
                </c:pt>
              </c:strCache>
            </c:strRef>
          </c:cat>
          <c:val>
            <c:numRef>
              <c:f>'Scenario Charts'!$C$12:$C$14</c:f>
              <c:numCache>
                <c:formatCode>0.0%</c:formatCode>
                <c:ptCount val="3"/>
                <c:pt idx="0">
                  <c:v>0.28131992342057632</c:v>
                </c:pt>
                <c:pt idx="1">
                  <c:v>0.30724344337600584</c:v>
                </c:pt>
                <c:pt idx="2">
                  <c:v>0.2097208645384355</c:v>
                </c:pt>
              </c:numCache>
            </c:numRef>
          </c:val>
          <c:extLst>
            <c:ext xmlns:c16="http://schemas.microsoft.com/office/drawing/2014/chart" uri="{C3380CC4-5D6E-409C-BE32-E72D297353CC}">
              <c16:uniqueId val="{00000001-D5DB-4D44-B660-594C8ECB50D5}"/>
            </c:ext>
          </c:extLst>
        </c:ser>
        <c:dLbls>
          <c:showLegendKey val="0"/>
          <c:showVal val="0"/>
          <c:showCatName val="0"/>
          <c:showSerName val="0"/>
          <c:showPercent val="0"/>
          <c:showBubbleSize val="0"/>
        </c:dLbls>
        <c:gapWidth val="219"/>
        <c:overlap val="-27"/>
        <c:axId val="21077521"/>
        <c:axId val="44397691"/>
      </c:barChart>
      <c:catAx>
        <c:axId val="21077521"/>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spc="-1">
                <a:solidFill>
                  <a:srgbClr val="595959"/>
                </a:solidFill>
                <a:latin typeface="Calibri"/>
              </a:defRPr>
            </a:pPr>
            <a:endParaRPr lang="en-NO"/>
          </a:p>
        </c:txPr>
        <c:crossAx val="44397691"/>
        <c:crosses val="autoZero"/>
        <c:auto val="1"/>
        <c:lblAlgn val="ctr"/>
        <c:lblOffset val="100"/>
        <c:noMultiLvlLbl val="0"/>
      </c:catAx>
      <c:valAx>
        <c:axId val="44397691"/>
        <c:scaling>
          <c:orientation val="minMax"/>
          <c:min val="0"/>
        </c:scaling>
        <c:delete val="0"/>
        <c:axPos val="l"/>
        <c:majorGridlines>
          <c:spPr>
            <a:ln w="9360">
              <a:solidFill>
                <a:srgbClr val="D9D9D9"/>
              </a:solidFill>
              <a:prstDash val="solid"/>
              <a:round/>
            </a:ln>
          </c:spPr>
        </c:majorGridlines>
        <c:numFmt formatCode="0.0%" sourceLinked="0"/>
        <c:majorTickMark val="none"/>
        <c:minorTickMark val="none"/>
        <c:tickLblPos val="nextTo"/>
        <c:spPr>
          <a:ln w="9360">
            <a:noFill/>
            <a:prstDash val="solid"/>
          </a:ln>
        </c:spPr>
        <c:txPr>
          <a:bodyPr/>
          <a:lstStyle/>
          <a:p>
            <a:pPr>
              <a:defRPr sz="900" b="0" strike="noStrike" spc="-1">
                <a:solidFill>
                  <a:srgbClr val="595959"/>
                </a:solidFill>
                <a:latin typeface="Calibri"/>
              </a:defRPr>
            </a:pPr>
            <a:endParaRPr lang="en-NO"/>
          </a:p>
        </c:txPr>
        <c:crossAx val="21077521"/>
        <c:crosses val="autoZero"/>
        <c:crossBetween val="between"/>
      </c:valAx>
    </c:plotArea>
    <c:legend>
      <c:legendPos val="b"/>
      <c:overlay val="0"/>
      <c:spPr>
        <a:noFill/>
        <a:ln w="0">
          <a:noFill/>
          <a:prstDash val="solid"/>
        </a:ln>
      </c:spPr>
      <c:txPr>
        <a:bodyPr/>
        <a:lstStyle/>
        <a:p>
          <a:pPr>
            <a:defRPr sz="900" b="0" strike="noStrike" spc="-1">
              <a:solidFill>
                <a:srgbClr val="595959"/>
              </a:solidFill>
              <a:latin typeface="Calibri"/>
            </a:defRPr>
          </a:pPr>
          <a:endParaRPr lang="en-NO"/>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4</xdr:col>
      <xdr:colOff>745920</xdr:colOff>
      <xdr:row>29</xdr:row>
      <xdr:rowOff>183960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15</xdr:row>
      <xdr:rowOff>0</xdr:rowOff>
    </xdr:from>
    <xdr:to>
      <xdr:col>10</xdr:col>
      <xdr:colOff>3106080</xdr:colOff>
      <xdr:row>29</xdr:row>
      <xdr:rowOff>183960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31</xdr:row>
      <xdr:rowOff>0</xdr:rowOff>
    </xdr:from>
    <xdr:to>
      <xdr:col>4</xdr:col>
      <xdr:colOff>745920</xdr:colOff>
      <xdr:row>45</xdr:row>
      <xdr:rowOff>184320</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77"/>
  <sheetViews>
    <sheetView showGridLines="0" topLeftCell="A26" zoomScale="150" zoomScaleNormal="150" workbookViewId="0">
      <selection activeCell="A7" sqref="A7"/>
    </sheetView>
  </sheetViews>
  <sheetFormatPr baseColWidth="10" defaultColWidth="8.6640625" defaultRowHeight="15" x14ac:dyDescent="0.2"/>
  <cols>
    <col min="1" max="1" width="58" customWidth="1"/>
    <col min="2" max="4" width="16" customWidth="1"/>
    <col min="5" max="5" width="19.33203125" customWidth="1"/>
    <col min="6" max="6" width="16" customWidth="1"/>
  </cols>
  <sheetData>
    <row r="1" spans="1:5" ht="21.75" customHeight="1" x14ac:dyDescent="0.2">
      <c r="A1" s="89" t="s">
        <v>0</v>
      </c>
      <c r="B1" s="87"/>
      <c r="C1" s="87"/>
      <c r="D1" s="87"/>
      <c r="E1" s="87"/>
    </row>
    <row r="2" spans="1:5" ht="15" customHeight="1" x14ac:dyDescent="0.2">
      <c r="A2" s="2" t="s">
        <v>1</v>
      </c>
    </row>
    <row r="3" spans="1:5" ht="15" customHeight="1" x14ac:dyDescent="0.2">
      <c r="A3" s="92" t="s">
        <v>2</v>
      </c>
      <c r="B3" s="87"/>
      <c r="C3" s="87"/>
      <c r="D3" s="87"/>
      <c r="E3" s="87"/>
    </row>
    <row r="4" spans="1:5" ht="15" customHeight="1" x14ac:dyDescent="0.2">
      <c r="A4" s="4" t="s">
        <v>3</v>
      </c>
      <c r="B4" s="4" t="s">
        <v>4</v>
      </c>
      <c r="C4" s="4" t="s">
        <v>5</v>
      </c>
      <c r="D4" s="4" t="s">
        <v>6</v>
      </c>
      <c r="E4" s="4" t="s">
        <v>7</v>
      </c>
    </row>
    <row r="5" spans="1:5" ht="15" customHeight="1" x14ac:dyDescent="0.2">
      <c r="A5" s="5" t="s">
        <v>8</v>
      </c>
      <c r="B5" s="6">
        <f>'Base Case'!E6</f>
        <v>872.11982860506555</v>
      </c>
      <c r="C5" s="6">
        <f>'Bull Case'!E6</f>
        <v>913.21318101965471</v>
      </c>
      <c r="D5" s="6">
        <f>'Bear Case'!E6</f>
        <v>801.98599999999999</v>
      </c>
      <c r="E5" s="7">
        <f t="shared" ref="E5:E15" si="0">C5-D5</f>
        <v>111.22718101965472</v>
      </c>
    </row>
    <row r="6" spans="1:5" ht="15" customHeight="1" x14ac:dyDescent="0.2">
      <c r="A6" s="5" t="s">
        <v>9</v>
      </c>
      <c r="B6" s="6">
        <f>'Base Case'!E9</f>
        <v>126.91050142909477</v>
      </c>
      <c r="C6" s="6">
        <f>'Bull Case'!E9</f>
        <v>139.46181010103135</v>
      </c>
      <c r="D6" s="6">
        <f>'Bear Case'!E9</f>
        <v>94.226902584505297</v>
      </c>
      <c r="E6" s="7">
        <f t="shared" si="0"/>
        <v>45.23490751652605</v>
      </c>
    </row>
    <row r="7" spans="1:5" ht="15" customHeight="1" x14ac:dyDescent="0.2">
      <c r="A7" s="5" t="s">
        <v>10</v>
      </c>
      <c r="B7" s="8">
        <f>'Base Case'!E10</f>
        <v>0.14551956883274289</v>
      </c>
      <c r="C7" s="8">
        <f>'Bull Case'!E10</f>
        <v>0.15271550279783988</v>
      </c>
      <c r="D7" s="8">
        <f>'Bear Case'!E10</f>
        <v>0.11749195445370031</v>
      </c>
      <c r="E7" s="9">
        <f t="shared" si="0"/>
        <v>3.5223548344139571E-2</v>
      </c>
    </row>
    <row r="8" spans="1:5" ht="15" customHeight="1" x14ac:dyDescent="0.2">
      <c r="A8" s="5" t="s">
        <v>11</v>
      </c>
      <c r="B8" s="6">
        <f>'Base Case'!E15</f>
        <v>104.27753359325749</v>
      </c>
      <c r="C8" s="6">
        <f>'Bull Case'!E15</f>
        <v>113.87928472728896</v>
      </c>
      <c r="D8" s="6">
        <f>'Bear Case'!E15</f>
        <v>79.274580477146557</v>
      </c>
      <c r="E8" s="7">
        <f t="shared" si="0"/>
        <v>34.604704250142404</v>
      </c>
    </row>
    <row r="9" spans="1:5" ht="15" customHeight="1" x14ac:dyDescent="0.2">
      <c r="A9" s="5" t="s">
        <v>12</v>
      </c>
      <c r="B9" s="6">
        <f>'Base Case'!E16</f>
        <v>97.086533593257499</v>
      </c>
      <c r="C9" s="6">
        <f>'Bull Case'!E16</f>
        <v>106.68828472728899</v>
      </c>
      <c r="D9" s="6">
        <f>'Bear Case'!E16</f>
        <v>72.083580477146555</v>
      </c>
      <c r="E9" s="7">
        <f t="shared" si="0"/>
        <v>34.604704250142433</v>
      </c>
    </row>
    <row r="10" spans="1:5" ht="15" customHeight="1" x14ac:dyDescent="0.2">
      <c r="A10" s="5" t="s">
        <v>13</v>
      </c>
      <c r="B10" s="10">
        <f>'Base Case'!D20</f>
        <v>81.474002418379683</v>
      </c>
      <c r="C10" s="10">
        <f>'Bull Case'!D20</f>
        <v>81.474002418379683</v>
      </c>
      <c r="D10" s="10">
        <f>'Bear Case'!D20</f>
        <v>81.474002418379683</v>
      </c>
      <c r="E10" s="11">
        <f t="shared" si="0"/>
        <v>0</v>
      </c>
    </row>
    <row r="11" spans="1:5" ht="15" customHeight="1" x14ac:dyDescent="0.2">
      <c r="A11" s="5" t="s">
        <v>14</v>
      </c>
      <c r="B11" s="6">
        <f>'Base Case'!D27</f>
        <v>39</v>
      </c>
      <c r="C11" s="6">
        <f>'Bull Case'!D27</f>
        <v>40.799999999999997</v>
      </c>
      <c r="D11" s="6">
        <f>'Bear Case'!D27</f>
        <v>42.8</v>
      </c>
      <c r="E11" s="7">
        <f t="shared" si="0"/>
        <v>-2</v>
      </c>
    </row>
    <row r="12" spans="1:5" ht="15" customHeight="1" x14ac:dyDescent="0.2">
      <c r="A12" s="5" t="s">
        <v>15</v>
      </c>
      <c r="B12" s="8">
        <f>'Base Case'!D28</f>
        <v>1.6789505206131754E-2</v>
      </c>
      <c r="C12" s="8">
        <f>'Bull Case'!D28</f>
        <v>1.9010905376991336E-2</v>
      </c>
      <c r="D12" s="8">
        <f>'Bear Case'!D28</f>
        <v>2.960209634324017E-2</v>
      </c>
      <c r="E12" s="9">
        <f t="shared" si="0"/>
        <v>-1.0591190966248835E-2</v>
      </c>
    </row>
    <row r="13" spans="1:5" ht="15" customHeight="1" x14ac:dyDescent="0.2">
      <c r="A13" s="5" t="s">
        <v>16</v>
      </c>
      <c r="B13" s="6">
        <f>'Base Case'!D40</f>
        <v>223.68697911236916</v>
      </c>
      <c r="C13" s="6">
        <f>'Bull Case'!D40</f>
        <v>224.7578355358213</v>
      </c>
      <c r="D13" s="6">
        <f>'Bear Case'!D40</f>
        <v>204.27902926790102</v>
      </c>
      <c r="E13" s="7">
        <f t="shared" si="0"/>
        <v>20.478806267920277</v>
      </c>
    </row>
    <row r="14" spans="1:5" ht="15" customHeight="1" x14ac:dyDescent="0.2">
      <c r="A14" s="5" t="s">
        <v>17</v>
      </c>
      <c r="B14" s="6">
        <f>'Base Case'!D46</f>
        <v>345.11076362022209</v>
      </c>
      <c r="C14" s="6">
        <f>'Bull Case'!D46</f>
        <v>347.24348729786698</v>
      </c>
      <c r="D14" s="6">
        <f>'Bear Case'!D46</f>
        <v>343.71201280231139</v>
      </c>
      <c r="E14" s="7">
        <f t="shared" si="0"/>
        <v>3.5314744955555852</v>
      </c>
    </row>
    <row r="15" spans="1:5" ht="15" customHeight="1" x14ac:dyDescent="0.2">
      <c r="A15" s="5" t="s">
        <v>18</v>
      </c>
      <c r="B15" s="8">
        <f>'Base Case'!D47</f>
        <v>0.28131992342057632</v>
      </c>
      <c r="C15" s="8">
        <f>'Bull Case'!D47</f>
        <v>0.30724344337600584</v>
      </c>
      <c r="D15" s="8">
        <f>'Bear Case'!D47</f>
        <v>0.2097208645384355</v>
      </c>
      <c r="E15" s="9">
        <f t="shared" si="0"/>
        <v>9.7522578837570345E-2</v>
      </c>
    </row>
    <row r="17" spans="1:5" ht="15" customHeight="1" x14ac:dyDescent="0.2">
      <c r="A17" s="92" t="s">
        <v>19</v>
      </c>
      <c r="B17" s="87"/>
      <c r="C17" s="87"/>
      <c r="D17" s="87"/>
      <c r="E17" s="87"/>
    </row>
    <row r="18" spans="1:5" ht="54" customHeight="1" x14ac:dyDescent="0.2">
      <c r="A18" s="86" t="s">
        <v>20</v>
      </c>
      <c r="B18" s="87"/>
      <c r="C18" s="87"/>
      <c r="D18" s="87"/>
      <c r="E18" s="87"/>
    </row>
    <row r="19" spans="1:5" ht="27" customHeight="1" x14ac:dyDescent="0.2">
      <c r="A19" s="86" t="s">
        <v>21</v>
      </c>
      <c r="B19" s="87"/>
      <c r="C19" s="87"/>
      <c r="D19" s="87"/>
      <c r="E19" s="87"/>
    </row>
    <row r="20" spans="1:5" ht="15" customHeight="1" x14ac:dyDescent="0.2">
      <c r="A20" s="86" t="s">
        <v>22</v>
      </c>
      <c r="B20" s="87"/>
      <c r="C20" s="87"/>
      <c r="D20" s="87"/>
      <c r="E20" s="87"/>
    </row>
    <row r="21" spans="1:5" ht="54" customHeight="1" x14ac:dyDescent="0.2">
      <c r="A21" s="86" t="s">
        <v>23</v>
      </c>
      <c r="B21" s="87"/>
      <c r="C21" s="87"/>
      <c r="D21" s="87"/>
      <c r="E21" s="87"/>
    </row>
    <row r="22" spans="1:5" ht="15" customHeight="1" x14ac:dyDescent="0.2">
      <c r="A22" s="86" t="s">
        <v>24</v>
      </c>
      <c r="B22" s="87"/>
      <c r="C22" s="87"/>
      <c r="D22" s="87"/>
      <c r="E22" s="87"/>
    </row>
    <row r="23" spans="1:5" ht="27" customHeight="1" x14ac:dyDescent="0.2">
      <c r="A23" s="86" t="s">
        <v>25</v>
      </c>
      <c r="B23" s="87"/>
      <c r="C23" s="87"/>
      <c r="D23" s="87"/>
      <c r="E23" s="87"/>
    </row>
    <row r="24" spans="1:5" ht="67.5" customHeight="1" x14ac:dyDescent="0.2">
      <c r="A24" s="86" t="s">
        <v>26</v>
      </c>
      <c r="B24" s="87"/>
      <c r="C24" s="87"/>
      <c r="D24" s="87"/>
      <c r="E24" s="87"/>
    </row>
    <row r="25" spans="1:5" ht="40.5" customHeight="1" x14ac:dyDescent="0.2">
      <c r="A25" s="86" t="s">
        <v>27</v>
      </c>
      <c r="B25" s="87"/>
      <c r="C25" s="87"/>
      <c r="D25" s="87"/>
      <c r="E25" s="87"/>
    </row>
    <row r="26" spans="1:5" ht="27" customHeight="1" x14ac:dyDescent="0.2">
      <c r="A26" s="86" t="s">
        <v>28</v>
      </c>
      <c r="B26" s="87"/>
      <c r="C26" s="87"/>
      <c r="D26" s="87"/>
      <c r="E26" s="87"/>
    </row>
    <row r="27" spans="1:5" ht="40.5" customHeight="1" x14ac:dyDescent="0.2">
      <c r="A27" s="86" t="s">
        <v>29</v>
      </c>
      <c r="B27" s="87"/>
      <c r="C27" s="87"/>
      <c r="D27" s="87"/>
      <c r="E27" s="87"/>
    </row>
    <row r="28" spans="1:5" ht="27" customHeight="1" x14ac:dyDescent="0.2">
      <c r="A28" s="86" t="s">
        <v>30</v>
      </c>
      <c r="B28" s="87"/>
      <c r="C28" s="87"/>
      <c r="D28" s="87"/>
      <c r="E28" s="87"/>
    </row>
    <row r="29" spans="1:5" ht="40.5" customHeight="1" x14ac:dyDescent="0.2">
      <c r="A29" s="86" t="s">
        <v>31</v>
      </c>
      <c r="B29" s="87"/>
      <c r="C29" s="87"/>
      <c r="D29" s="87"/>
      <c r="E29" s="87"/>
    </row>
    <row r="30" spans="1:5" ht="27" customHeight="1" x14ac:dyDescent="0.2">
      <c r="A30" s="86" t="s">
        <v>32</v>
      </c>
      <c r="B30" s="87"/>
      <c r="C30" s="87"/>
      <c r="D30" s="87"/>
      <c r="E30" s="87"/>
    </row>
    <row r="31" spans="1:5" ht="40.5" customHeight="1" x14ac:dyDescent="0.2">
      <c r="A31" s="86" t="s">
        <v>33</v>
      </c>
      <c r="B31" s="87"/>
      <c r="C31" s="87"/>
      <c r="D31" s="87"/>
      <c r="E31" s="87"/>
    </row>
    <row r="32" spans="1:5" ht="67.5" customHeight="1" x14ac:dyDescent="0.2">
      <c r="A32" s="86" t="s">
        <v>34</v>
      </c>
      <c r="B32" s="87"/>
      <c r="C32" s="87"/>
      <c r="D32" s="87"/>
      <c r="E32" s="87"/>
    </row>
    <row r="33" spans="1:5" ht="130" customHeight="1" x14ac:dyDescent="0.2">
      <c r="A33" s="86" t="s">
        <v>35</v>
      </c>
      <c r="B33" s="87"/>
      <c r="C33" s="87"/>
      <c r="D33" s="87"/>
      <c r="E33" s="87"/>
    </row>
    <row r="34" spans="1:5" ht="15" customHeight="1" x14ac:dyDescent="0.2">
      <c r="A34" s="12" t="s">
        <v>36</v>
      </c>
    </row>
    <row r="35" spans="1:5" ht="15" customHeight="1" x14ac:dyDescent="0.2">
      <c r="A35" s="13" t="s">
        <v>37</v>
      </c>
      <c r="B35" s="13" t="s">
        <v>4</v>
      </c>
      <c r="C35" s="13" t="s">
        <v>5</v>
      </c>
      <c r="D35" s="13" t="s">
        <v>6</v>
      </c>
      <c r="E35" s="13" t="s">
        <v>38</v>
      </c>
    </row>
    <row r="36" spans="1:5" ht="15" customHeight="1" x14ac:dyDescent="0.2">
      <c r="A36" t="s">
        <v>39</v>
      </c>
      <c r="B36" s="14">
        <f>'Base Case'!H52</f>
        <v>351.1628286050655</v>
      </c>
      <c r="C36" s="14">
        <f>'Bull Case'!H52</f>
        <v>385.55518101965475</v>
      </c>
      <c r="D36" s="14">
        <f>'Bear Case'!H52</f>
        <v>285.476</v>
      </c>
      <c r="E36" s="15">
        <v>310.3</v>
      </c>
    </row>
    <row r="37" spans="1:5" ht="15" customHeight="1" x14ac:dyDescent="0.2">
      <c r="A37" t="s">
        <v>40</v>
      </c>
      <c r="B37" s="14">
        <f>'Base Case'!I52</f>
        <v>75.465198265922083</v>
      </c>
      <c r="C37" s="14">
        <f>'Bull Case'!I52</f>
        <v>84.441602246129889</v>
      </c>
      <c r="D37" s="14">
        <f>'Bear Case'!I52</f>
        <v>51.444687999999999</v>
      </c>
      <c r="E37" s="15">
        <v>64.8</v>
      </c>
    </row>
    <row r="38" spans="1:5" ht="15" customHeight="1" x14ac:dyDescent="0.2">
      <c r="A38" t="s">
        <v>41</v>
      </c>
      <c r="B38" s="16">
        <f>'Base Case'!J52</f>
        <v>0.21490087252598666</v>
      </c>
      <c r="C38" s="16">
        <f>'Bull Case'!J52</f>
        <v>0.21901301396809719</v>
      </c>
      <c r="D38" s="16">
        <f>'Bear Case'!J52</f>
        <v>0.1802067003881237</v>
      </c>
      <c r="E38" s="17">
        <v>0.20883016435707399</v>
      </c>
    </row>
    <row r="39" spans="1:5" ht="15" customHeight="1" x14ac:dyDescent="0.2">
      <c r="A39" t="s">
        <v>42</v>
      </c>
      <c r="B39" s="14">
        <f>'Base Case'!H53</f>
        <v>48.1</v>
      </c>
      <c r="C39" s="14">
        <f>'Bull Case'!H53</f>
        <v>51.948</v>
      </c>
      <c r="D39" s="14">
        <f>'Bear Case'!H53</f>
        <v>46.657000000000004</v>
      </c>
      <c r="E39" s="15">
        <v>48.1</v>
      </c>
    </row>
    <row r="40" spans="1:5" ht="15" customHeight="1" x14ac:dyDescent="0.2">
      <c r="A40" t="s">
        <v>43</v>
      </c>
      <c r="B40" s="14">
        <f>'Base Case'!I53</f>
        <v>11.7</v>
      </c>
      <c r="C40" s="14">
        <f>'Bull Case'!I53</f>
        <v>13.39312</v>
      </c>
      <c r="D40" s="14">
        <f>'Bear Case'!I53</f>
        <v>10.353681</v>
      </c>
      <c r="E40" s="15">
        <v>11.7</v>
      </c>
    </row>
    <row r="41" spans="1:5" ht="15" customHeight="1" x14ac:dyDescent="0.2">
      <c r="A41" t="s">
        <v>44</v>
      </c>
      <c r="B41" s="16">
        <f>'Base Case'!J53</f>
        <v>0.24324324324324323</v>
      </c>
      <c r="C41" s="16">
        <f>'Bull Case'!J53</f>
        <v>0.25781781781781782</v>
      </c>
      <c r="D41" s="16">
        <f>'Bear Case'!J53</f>
        <v>0.22191056004458065</v>
      </c>
      <c r="E41" s="17">
        <v>0.24324324324324301</v>
      </c>
    </row>
    <row r="42" spans="1:5" ht="15" customHeight="1" x14ac:dyDescent="0.2">
      <c r="A42" t="s">
        <v>45</v>
      </c>
      <c r="B42" s="14">
        <f>'Base Case'!H54</f>
        <v>43.2</v>
      </c>
      <c r="C42" s="14">
        <f>'Bull Case'!H54</f>
        <v>45.6</v>
      </c>
      <c r="D42" s="14">
        <f>'Bear Case'!H54</f>
        <v>40.799999999999997</v>
      </c>
      <c r="E42" s="15">
        <v>40</v>
      </c>
    </row>
    <row r="43" spans="1:5" ht="15" customHeight="1" x14ac:dyDescent="0.2">
      <c r="A43" t="s">
        <v>46</v>
      </c>
      <c r="B43" s="14">
        <f>'Base Case'!I54</f>
        <v>2.4496000000000002</v>
      </c>
      <c r="C43" s="14">
        <f>'Bull Case'!I54</f>
        <v>2.6</v>
      </c>
      <c r="D43" s="14">
        <f>'Bear Case'!I54</f>
        <v>2.44</v>
      </c>
      <c r="E43" s="15">
        <v>2.6</v>
      </c>
    </row>
    <row r="44" spans="1:5" ht="15" customHeight="1" x14ac:dyDescent="0.2">
      <c r="A44" t="s">
        <v>47</v>
      </c>
      <c r="B44" s="16">
        <f>'Base Case'!J54</f>
        <v>5.6703703703703708E-2</v>
      </c>
      <c r="C44" s="16">
        <f>'Bull Case'!J54</f>
        <v>5.701754385964912E-2</v>
      </c>
      <c r="D44" s="16">
        <f>'Bear Case'!J54</f>
        <v>5.9803921568627454E-2</v>
      </c>
      <c r="E44" s="17">
        <v>6.5000000000000002E-2</v>
      </c>
    </row>
    <row r="45" spans="1:5" ht="15" customHeight="1" x14ac:dyDescent="0.2">
      <c r="A45" t="s">
        <v>48</v>
      </c>
      <c r="B45" s="14">
        <f>'Base Case'!H55</f>
        <v>16.157</v>
      </c>
      <c r="C45" s="14">
        <f>'Bull Case'!H55</f>
        <v>16.61</v>
      </c>
      <c r="D45" s="14">
        <f>'Bear Case'!H55</f>
        <v>15.552999999999999</v>
      </c>
      <c r="E45" s="15">
        <v>15.1</v>
      </c>
    </row>
    <row r="46" spans="1:5" ht="15" customHeight="1" x14ac:dyDescent="0.2">
      <c r="A46" t="s">
        <v>49</v>
      </c>
      <c r="B46" s="14">
        <f>'Base Case'!I55</f>
        <v>6.9341999999999997</v>
      </c>
      <c r="C46" s="14">
        <f>'Bull Case'!I55</f>
        <v>7.2059999999999995</v>
      </c>
      <c r="D46" s="14">
        <f>'Bear Case'!I55</f>
        <v>6.4843709999999994</v>
      </c>
      <c r="E46" s="15">
        <v>6.3</v>
      </c>
    </row>
    <row r="47" spans="1:5" ht="15" customHeight="1" x14ac:dyDescent="0.2">
      <c r="A47" t="s">
        <v>50</v>
      </c>
      <c r="B47" s="16">
        <f>'Base Case'!J55</f>
        <v>0.4291762084545398</v>
      </c>
      <c r="C47" s="16">
        <f>'Bull Case'!J55</f>
        <v>0.43383503913305238</v>
      </c>
      <c r="D47" s="16">
        <f>'Bear Case'!J55</f>
        <v>0.41692091557898797</v>
      </c>
      <c r="E47" s="17">
        <v>0.41721854304635803</v>
      </c>
    </row>
    <row r="48" spans="1:5" ht="15" customHeight="1" x14ac:dyDescent="0.2">
      <c r="A48" t="s">
        <v>51</v>
      </c>
      <c r="B48" s="14">
        <f>'Base Case'!H56</f>
        <v>458.61982860506549</v>
      </c>
      <c r="C48" s="14">
        <f>'Bull Case'!H56</f>
        <v>499.71318101965477</v>
      </c>
      <c r="D48" s="14">
        <f>'Bear Case'!H56</f>
        <v>388.48599999999999</v>
      </c>
      <c r="E48" s="15">
        <v>413.5</v>
      </c>
    </row>
    <row r="49" spans="1:6" ht="15" customHeight="1" x14ac:dyDescent="0.2">
      <c r="A49" t="s">
        <v>52</v>
      </c>
      <c r="B49" s="14">
        <f>'Base Case'!I56</f>
        <v>96.548998265922094</v>
      </c>
      <c r="C49" s="14">
        <f>'Bull Case'!I56</f>
        <v>107.64072224612988</v>
      </c>
      <c r="D49" s="14">
        <f>'Bear Case'!I56</f>
        <v>70.722740000000002</v>
      </c>
      <c r="E49" s="15">
        <v>85.4</v>
      </c>
    </row>
    <row r="50" spans="1:6" ht="15" customHeight="1" x14ac:dyDescent="0.2">
      <c r="A50" t="s">
        <v>53</v>
      </c>
      <c r="B50" s="16">
        <f>'Base Case'!J56</f>
        <v>0.2105207674068188</v>
      </c>
      <c r="C50" s="16">
        <f>'Bull Case'!J56</f>
        <v>0.21540500898233492</v>
      </c>
      <c r="D50" s="16">
        <f>'Bear Case'!J56</f>
        <v>0.18204707505547177</v>
      </c>
      <c r="E50" s="17">
        <v>0.206529625151149</v>
      </c>
    </row>
    <row r="51" spans="1:6" ht="15" customHeight="1" x14ac:dyDescent="0.2">
      <c r="A51" t="s">
        <v>54</v>
      </c>
      <c r="B51" s="14">
        <f>'Base Case'!D61</f>
        <v>-28.6</v>
      </c>
      <c r="C51" s="14">
        <f>'Bull Case'!D61</f>
        <v>-28.6</v>
      </c>
      <c r="D51" s="14">
        <f>'Bear Case'!D61</f>
        <v>-28.6</v>
      </c>
      <c r="E51" s="15">
        <v>-28.6</v>
      </c>
    </row>
    <row r="52" spans="1:6" ht="15" customHeight="1" x14ac:dyDescent="0.2">
      <c r="A52" t="s">
        <v>55</v>
      </c>
      <c r="B52" s="18">
        <f>'Base Case'!D70</f>
        <v>3.1810670036863966</v>
      </c>
      <c r="C52" s="18">
        <f>'Bull Case'!D70</f>
        <v>6.8586011119943766</v>
      </c>
      <c r="D52" s="18">
        <f>'Bear Case'!D70</f>
        <v>-2.1267311088848975</v>
      </c>
    </row>
    <row r="53" spans="1:6" ht="15" customHeight="1" x14ac:dyDescent="0.2">
      <c r="A53" s="19" t="s">
        <v>56</v>
      </c>
      <c r="B53" s="20">
        <f>'Base Case'!D71</f>
        <v>70.110501429094768</v>
      </c>
      <c r="C53" s="20">
        <f>'Bull Case'!D71</f>
        <v>82.661810101031335</v>
      </c>
      <c r="D53" s="20">
        <f>'Bear Case'!D71</f>
        <v>37.426902584505299</v>
      </c>
      <c r="E53" s="21">
        <v>56.8</v>
      </c>
    </row>
    <row r="54" spans="1:6" ht="15" customHeight="1" x14ac:dyDescent="0.2">
      <c r="B54" s="16"/>
      <c r="C54" s="16"/>
      <c r="D54" s="16"/>
      <c r="E54" s="17"/>
    </row>
    <row r="55" spans="1:6" ht="15" customHeight="1" x14ac:dyDescent="0.2">
      <c r="A55" s="90" t="s">
        <v>57</v>
      </c>
      <c r="B55" s="87"/>
      <c r="C55" s="87"/>
      <c r="D55" s="87"/>
      <c r="E55" s="87"/>
      <c r="F55" s="87"/>
    </row>
    <row r="56" spans="1:6" ht="15" customHeight="1" x14ac:dyDescent="0.2">
      <c r="A56" s="22" t="s">
        <v>58</v>
      </c>
      <c r="B56" s="23">
        <f>'Base Case'!B119</f>
        <v>0</v>
      </c>
      <c r="C56" s="23">
        <f>'Base Case'!C119</f>
        <v>0.25</v>
      </c>
      <c r="D56" s="23">
        <f>'Base Case'!D119</f>
        <v>0.5</v>
      </c>
      <c r="E56" s="23">
        <f>'Base Case'!E119</f>
        <v>0.75</v>
      </c>
      <c r="F56" s="23">
        <f>'Base Case'!F119</f>
        <v>1</v>
      </c>
    </row>
    <row r="57" spans="1:6" ht="15" customHeight="1" x14ac:dyDescent="0.2">
      <c r="A57" s="24" t="s">
        <v>59</v>
      </c>
      <c r="B57" s="25">
        <f>'Base Case'!B123</f>
        <v>60.848552023754984</v>
      </c>
      <c r="C57" s="25">
        <f>'Base Case'!C123</f>
        <v>65.479526726424879</v>
      </c>
      <c r="D57" s="25">
        <f>'Base Case'!D123</f>
        <v>70.110501429094768</v>
      </c>
      <c r="E57" s="25">
        <f>'Base Case'!E123</f>
        <v>74.741476131764657</v>
      </c>
      <c r="F57" s="25">
        <f>'Base Case'!F123</f>
        <v>79.372450834434545</v>
      </c>
    </row>
    <row r="58" spans="1:6" ht="15" customHeight="1" x14ac:dyDescent="0.2">
      <c r="A58" s="24" t="s">
        <v>60</v>
      </c>
      <c r="B58" s="26">
        <f>'Base Case'!B124</f>
        <v>7.1277324361883609E-2</v>
      </c>
      <c r="C58" s="26">
        <f>'Base Case'!C124</f>
        <v>0.15280856912719853</v>
      </c>
      <c r="D58" s="26">
        <f>'Base Case'!D124</f>
        <v>0.23433981389251368</v>
      </c>
      <c r="E58" s="26">
        <f>'Base Case'!E124</f>
        <v>0.31587105865782861</v>
      </c>
      <c r="F58" s="26">
        <f>'Base Case'!F124</f>
        <v>0.39740230342314353</v>
      </c>
    </row>
    <row r="59" spans="1:6" ht="15" customHeight="1" x14ac:dyDescent="0.2">
      <c r="A59" s="24" t="s">
        <v>61</v>
      </c>
      <c r="B59" s="25">
        <f>'Base Case'!B125</f>
        <v>117.64855202375497</v>
      </c>
      <c r="C59" s="25">
        <f>'Base Case'!C125</f>
        <v>122.27952672642488</v>
      </c>
      <c r="D59" s="25">
        <f>'Base Case'!D125</f>
        <v>126.91050142909477</v>
      </c>
      <c r="E59" s="25">
        <f>'Base Case'!E125</f>
        <v>131.54147613176465</v>
      </c>
      <c r="F59" s="25">
        <f>'Base Case'!F125</f>
        <v>136.17245083443453</v>
      </c>
    </row>
    <row r="60" spans="1:6" ht="15" customHeight="1" x14ac:dyDescent="0.2">
      <c r="A60" s="24" t="s">
        <v>18</v>
      </c>
      <c r="B60" s="26">
        <f>'Base Case'!B135</f>
        <v>0.26146236386818233</v>
      </c>
      <c r="C60" s="26">
        <f>'Base Case'!C135</f>
        <v>0.2714039424657288</v>
      </c>
      <c r="D60" s="26">
        <f>'Base Case'!D135</f>
        <v>0.28131992342057632</v>
      </c>
      <c r="E60" s="26">
        <f>'Base Case'!E135</f>
        <v>0.29121040546908233</v>
      </c>
      <c r="F60" s="26">
        <f>'Base Case'!F135</f>
        <v>0.3010754868404561</v>
      </c>
    </row>
    <row r="61" spans="1:6" ht="15" customHeight="1" x14ac:dyDescent="0.2">
      <c r="A61" s="27" t="s">
        <v>62</v>
      </c>
      <c r="B61" s="28">
        <f>'Base Case'!B137</f>
        <v>9.2619494053397844</v>
      </c>
    </row>
    <row r="62" spans="1:6" ht="30" customHeight="1" x14ac:dyDescent="0.2">
      <c r="A62" s="91" t="s">
        <v>63</v>
      </c>
      <c r="B62" s="87"/>
      <c r="C62" s="87"/>
      <c r="D62" s="87"/>
      <c r="E62" s="87"/>
      <c r="F62" s="87"/>
    </row>
    <row r="64" spans="1:6" x14ac:dyDescent="0.2">
      <c r="A64" s="93" t="s">
        <v>64</v>
      </c>
      <c r="B64" s="87"/>
      <c r="C64" s="87"/>
      <c r="D64" s="87"/>
      <c r="E64" s="87"/>
      <c r="F64" s="87"/>
    </row>
    <row r="65" spans="1:6" x14ac:dyDescent="0.2">
      <c r="A65" s="76" t="s">
        <v>65</v>
      </c>
      <c r="B65" s="76" t="s">
        <v>66</v>
      </c>
      <c r="C65" s="76" t="s">
        <v>67</v>
      </c>
      <c r="D65" s="76" t="s">
        <v>68</v>
      </c>
      <c r="E65" s="76" t="s">
        <v>69</v>
      </c>
    </row>
    <row r="66" spans="1:6" x14ac:dyDescent="0.2">
      <c r="A66" s="77" t="s">
        <v>70</v>
      </c>
      <c r="B66" s="78">
        <f>'Base Case'!I52</f>
        <v>75.465198265922083</v>
      </c>
      <c r="C66" s="78">
        <f>'Bull Case'!I52</f>
        <v>84.441602246129889</v>
      </c>
      <c r="D66" s="79">
        <f t="shared" ref="D66:D72" si="1">C66-B66</f>
        <v>8.9764039802078059</v>
      </c>
      <c r="E66" s="80">
        <f t="shared" ref="E66:E72" si="2">D66/$D$73</f>
        <v>0.71517673693087636</v>
      </c>
    </row>
    <row r="67" spans="1:6" x14ac:dyDescent="0.2">
      <c r="A67" s="77" t="s">
        <v>71</v>
      </c>
      <c r="B67" s="78">
        <f>'Base Case'!I53</f>
        <v>11.7</v>
      </c>
      <c r="C67" s="78">
        <f>'Bull Case'!I53</f>
        <v>13.39312</v>
      </c>
      <c r="D67" s="79">
        <f t="shared" si="1"/>
        <v>1.6931200000000004</v>
      </c>
      <c r="E67" s="80">
        <f t="shared" si="2"/>
        <v>0.13489589366769716</v>
      </c>
    </row>
    <row r="68" spans="1:6" x14ac:dyDescent="0.2">
      <c r="A68" s="77" t="s">
        <v>72</v>
      </c>
      <c r="B68" s="78">
        <f>'Base Case'!I54</f>
        <v>2.4496000000000002</v>
      </c>
      <c r="C68" s="78">
        <f>'Bull Case'!I54</f>
        <v>2.6</v>
      </c>
      <c r="D68" s="79">
        <f t="shared" si="1"/>
        <v>0.15039999999999987</v>
      </c>
      <c r="E68" s="80">
        <f t="shared" si="2"/>
        <v>1.1982814217315741E-2</v>
      </c>
    </row>
    <row r="69" spans="1:6" x14ac:dyDescent="0.2">
      <c r="A69" s="77" t="s">
        <v>73</v>
      </c>
      <c r="B69" s="78">
        <f>'Base Case'!I55</f>
        <v>6.9341999999999997</v>
      </c>
      <c r="C69" s="78">
        <f>'Bull Case'!I55</f>
        <v>7.2059999999999995</v>
      </c>
      <c r="D69" s="79">
        <f t="shared" si="1"/>
        <v>0.27179999999999982</v>
      </c>
      <c r="E69" s="80">
        <f t="shared" si="2"/>
        <v>2.1655112395388428E-2</v>
      </c>
    </row>
    <row r="70" spans="1:6" x14ac:dyDescent="0.2">
      <c r="A70" s="77" t="s">
        <v>74</v>
      </c>
      <c r="B70" s="78">
        <f>'Base Case'!D61</f>
        <v>-28.6</v>
      </c>
      <c r="C70" s="78">
        <f>'Bull Case'!D61</f>
        <v>-28.6</v>
      </c>
      <c r="D70" s="79">
        <f t="shared" si="1"/>
        <v>0</v>
      </c>
      <c r="E70" s="80">
        <f t="shared" si="2"/>
        <v>0</v>
      </c>
    </row>
    <row r="71" spans="1:6" x14ac:dyDescent="0.2">
      <c r="A71" s="77" t="s">
        <v>75</v>
      </c>
      <c r="B71" s="78">
        <f>'Base Case'!D65</f>
        <v>0</v>
      </c>
      <c r="C71" s="78">
        <f>'Bull Case'!D65</f>
        <v>-1.7999999999999998</v>
      </c>
      <c r="D71" s="79">
        <f t="shared" si="1"/>
        <v>-1.7999999999999998</v>
      </c>
      <c r="E71" s="80">
        <f t="shared" si="2"/>
        <v>-0.14341134036681086</v>
      </c>
    </row>
    <row r="72" spans="1:6" x14ac:dyDescent="0.2">
      <c r="A72" s="77" t="s">
        <v>76</v>
      </c>
      <c r="B72" s="78">
        <f>'Base Case'!D64*'Base Case'!D70/100</f>
        <v>2.1615031631726893</v>
      </c>
      <c r="C72" s="78">
        <f>'Bull Case'!D64*'Bull Case'!D70/100</f>
        <v>5.421087854901451</v>
      </c>
      <c r="D72" s="79">
        <f t="shared" si="1"/>
        <v>3.2595846917287616</v>
      </c>
      <c r="E72" s="80">
        <f t="shared" si="2"/>
        <v>0.25970078315553319</v>
      </c>
    </row>
    <row r="73" spans="1:6" x14ac:dyDescent="0.2">
      <c r="A73" s="81" t="s">
        <v>77</v>
      </c>
      <c r="B73" s="82">
        <f>SUM(B66:B72)</f>
        <v>70.110501429094768</v>
      </c>
      <c r="C73" s="82">
        <f>SUM(C66:C72)</f>
        <v>82.661810101031335</v>
      </c>
      <c r="D73" s="82">
        <f>SUM(D66:D72)</f>
        <v>12.551308671936567</v>
      </c>
      <c r="E73" s="83">
        <f>SUM(E66:E72)</f>
        <v>1</v>
      </c>
    </row>
    <row r="74" spans="1:6" x14ac:dyDescent="0.2">
      <c r="A74" s="84" t="s">
        <v>78</v>
      </c>
      <c r="B74" s="85">
        <f>B73-B53</f>
        <v>0</v>
      </c>
      <c r="C74" s="85">
        <f>C73-C53</f>
        <v>0</v>
      </c>
    </row>
    <row r="75" spans="1:6" ht="70" customHeight="1" x14ac:dyDescent="0.2">
      <c r="A75" s="88" t="s">
        <v>79</v>
      </c>
      <c r="B75" s="87"/>
      <c r="C75" s="87"/>
      <c r="D75" s="87"/>
      <c r="E75" s="87"/>
      <c r="F75" s="87"/>
    </row>
    <row r="77" spans="1:6" ht="30" customHeight="1" x14ac:dyDescent="0.2">
      <c r="A77" s="94" t="s">
        <v>80</v>
      </c>
      <c r="B77" s="87"/>
      <c r="C77" s="87"/>
      <c r="D77" s="87"/>
      <c r="E77" s="87"/>
      <c r="F77" s="87"/>
    </row>
  </sheetData>
  <mergeCells count="24">
    <mergeCell ref="A17:E17"/>
    <mergeCell ref="A64:F64"/>
    <mergeCell ref="A77:F77"/>
    <mergeCell ref="A29:E29"/>
    <mergeCell ref="A20:E20"/>
    <mergeCell ref="A28:E28"/>
    <mergeCell ref="A19:E19"/>
    <mergeCell ref="A31:E31"/>
    <mergeCell ref="A30:E30"/>
    <mergeCell ref="A24:E24"/>
    <mergeCell ref="A75:F75"/>
    <mergeCell ref="A1:E1"/>
    <mergeCell ref="A55:F55"/>
    <mergeCell ref="A25:E25"/>
    <mergeCell ref="A62:F62"/>
    <mergeCell ref="A18:E18"/>
    <mergeCell ref="A27:E27"/>
    <mergeCell ref="A3:E3"/>
    <mergeCell ref="A21:E21"/>
    <mergeCell ref="A26:E26"/>
    <mergeCell ref="A33:E33"/>
    <mergeCell ref="A23:E23"/>
    <mergeCell ref="A32:E32"/>
    <mergeCell ref="A22:E22"/>
  </mergeCells>
  <pageMargins left="0.75" right="0.75" top="1" bottom="1"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137"/>
  <sheetViews>
    <sheetView showGridLines="0" zoomScaleNormal="100" workbookViewId="0">
      <pane xSplit="1" ySplit="5" topLeftCell="B6" activePane="bottomRight" state="frozen"/>
      <selection pane="topRight" activeCell="B1" sqref="B1"/>
      <selection pane="bottomLeft" activeCell="A6" sqref="A6"/>
      <selection pane="bottomRight" activeCell="D6" sqref="D6"/>
    </sheetView>
  </sheetViews>
  <sheetFormatPr baseColWidth="10" defaultColWidth="8.6640625" defaultRowHeight="15" x14ac:dyDescent="0.2"/>
  <cols>
    <col min="1" max="1" width="42" customWidth="1"/>
    <col min="2" max="5" width="16" customWidth="1"/>
    <col min="6" max="6" width="46" customWidth="1"/>
  </cols>
  <sheetData>
    <row r="1" spans="1:6" ht="21.75" customHeight="1" x14ac:dyDescent="0.2">
      <c r="A1" s="89" t="s">
        <v>81</v>
      </c>
      <c r="B1" s="87"/>
      <c r="C1" s="87"/>
      <c r="D1" s="87"/>
      <c r="E1" s="87"/>
      <c r="F1" s="87"/>
    </row>
    <row r="2" spans="1:6" ht="15" customHeight="1" x14ac:dyDescent="0.2">
      <c r="A2" s="2" t="s">
        <v>82</v>
      </c>
    </row>
    <row r="3" spans="1:6" ht="15" customHeight="1" x14ac:dyDescent="0.2">
      <c r="A3" s="2" t="s">
        <v>83</v>
      </c>
    </row>
    <row r="4" spans="1:6" ht="18" customHeight="1" x14ac:dyDescent="0.2">
      <c r="A4" s="92" t="s">
        <v>84</v>
      </c>
      <c r="B4" s="87"/>
      <c r="C4" s="87"/>
      <c r="D4" s="87"/>
      <c r="E4" s="87"/>
      <c r="F4" s="87"/>
    </row>
    <row r="5" spans="1:6" ht="15" customHeight="1" x14ac:dyDescent="0.2">
      <c r="A5" s="4" t="s">
        <v>85</v>
      </c>
      <c r="B5" s="4" t="s">
        <v>86</v>
      </c>
      <c r="C5" s="4" t="s">
        <v>38</v>
      </c>
      <c r="D5" s="4" t="s">
        <v>87</v>
      </c>
      <c r="E5" s="4" t="s">
        <v>88</v>
      </c>
      <c r="F5" s="4" t="s">
        <v>89</v>
      </c>
    </row>
    <row r="6" spans="1:6" ht="15" customHeight="1" x14ac:dyDescent="0.2">
      <c r="A6" t="s">
        <v>8</v>
      </c>
      <c r="C6" s="30">
        <v>413.5</v>
      </c>
      <c r="D6" s="31">
        <f>H56</f>
        <v>458.61982860506549</v>
      </c>
      <c r="E6" s="32">
        <f>C6+D6</f>
        <v>872.11982860506555</v>
      </c>
      <c r="F6" s="2" t="s">
        <v>90</v>
      </c>
    </row>
    <row r="7" spans="1:6" ht="15" customHeight="1" x14ac:dyDescent="0.2">
      <c r="A7" t="s">
        <v>91</v>
      </c>
      <c r="B7" s="33">
        <f>D6/C6-1</f>
        <v>0.10911687691672434</v>
      </c>
    </row>
    <row r="8" spans="1:6" ht="15" customHeight="1" x14ac:dyDescent="0.2">
      <c r="A8" t="s">
        <v>92</v>
      </c>
      <c r="B8" s="33">
        <f>D9/D6</f>
        <v>0.15287280892834992</v>
      </c>
    </row>
    <row r="9" spans="1:6" ht="15" customHeight="1" x14ac:dyDescent="0.2">
      <c r="A9" t="s">
        <v>9</v>
      </c>
      <c r="C9" s="30">
        <v>56.8</v>
      </c>
      <c r="D9" s="31">
        <f>D71</f>
        <v>70.110501429094768</v>
      </c>
      <c r="E9" s="32">
        <f>C9+D9</f>
        <v>126.91050142909477</v>
      </c>
      <c r="F9" t="s">
        <v>93</v>
      </c>
    </row>
    <row r="10" spans="1:6" ht="15" customHeight="1" x14ac:dyDescent="0.2">
      <c r="A10" t="s">
        <v>94</v>
      </c>
      <c r="C10" s="9">
        <f>C9/C6</f>
        <v>0.1373639661426844</v>
      </c>
      <c r="D10" s="9">
        <f>D9/D6</f>
        <v>0.15287280892834992</v>
      </c>
      <c r="E10" s="9">
        <f>E9/E6</f>
        <v>0.14551956883274289</v>
      </c>
    </row>
    <row r="11" spans="1:6" ht="15" customHeight="1" x14ac:dyDescent="0.2">
      <c r="A11" t="s">
        <v>95</v>
      </c>
      <c r="B11" s="34">
        <v>4.7</v>
      </c>
      <c r="C11" s="30">
        <v>4.7</v>
      </c>
      <c r="D11" s="35">
        <f>B11</f>
        <v>4.7</v>
      </c>
      <c r="E11" s="32">
        <f>C11+D11</f>
        <v>9.4</v>
      </c>
      <c r="F11" s="36" t="s">
        <v>96</v>
      </c>
    </row>
    <row r="12" spans="1:6" ht="15" customHeight="1" x14ac:dyDescent="0.2">
      <c r="A12" t="s">
        <v>97</v>
      </c>
      <c r="C12" s="35">
        <f>C9+C11</f>
        <v>61.5</v>
      </c>
      <c r="D12" s="35">
        <f>D9+D11</f>
        <v>74.810501429094771</v>
      </c>
      <c r="E12" s="32">
        <f>C12+D12</f>
        <v>136.31050142909476</v>
      </c>
    </row>
    <row r="13" spans="1:6" ht="15" customHeight="1" x14ac:dyDescent="0.2">
      <c r="A13" t="s">
        <v>98</v>
      </c>
      <c r="B13" s="37">
        <v>0.23499999999999999</v>
      </c>
    </row>
    <row r="14" spans="1:6" ht="15" customHeight="1" x14ac:dyDescent="0.2">
      <c r="A14" t="s">
        <v>99</v>
      </c>
      <c r="C14" s="35">
        <f>C12*$B$13</f>
        <v>14.452499999999999</v>
      </c>
      <c r="D14" s="35">
        <f>D12*$B$13</f>
        <v>17.580467835837268</v>
      </c>
      <c r="E14" s="32">
        <f>C14+D14</f>
        <v>32.032967835837269</v>
      </c>
    </row>
    <row r="15" spans="1:6" ht="15" customHeight="1" x14ac:dyDescent="0.2">
      <c r="A15" t="s">
        <v>11</v>
      </c>
      <c r="C15" s="32">
        <f>C12-C14</f>
        <v>47.047499999999999</v>
      </c>
      <c r="D15" s="32">
        <f>D12-D14</f>
        <v>57.230033593257502</v>
      </c>
      <c r="E15" s="32">
        <f>E12-E14</f>
        <v>104.27753359325749</v>
      </c>
    </row>
    <row r="16" spans="1:6" ht="15" customHeight="1" x14ac:dyDescent="0.2">
      <c r="A16" t="s">
        <v>100</v>
      </c>
      <c r="C16" s="35">
        <f>C9*(1-$B$13)</f>
        <v>43.451999999999998</v>
      </c>
      <c r="D16" s="35">
        <f>D9*(1-$B$13)</f>
        <v>53.634533593257501</v>
      </c>
      <c r="E16" s="32">
        <f>E9*(1-$B$13)</f>
        <v>97.086533593257499</v>
      </c>
    </row>
    <row r="18" spans="1:6" ht="18" customHeight="1" x14ac:dyDescent="0.2">
      <c r="A18" s="92" t="s">
        <v>101</v>
      </c>
      <c r="B18" s="87"/>
      <c r="C18" s="87"/>
      <c r="D18" s="87"/>
      <c r="E18" s="87"/>
      <c r="F18" s="87"/>
    </row>
    <row r="19" spans="1:6" ht="15" customHeight="1" x14ac:dyDescent="0.2">
      <c r="A19" s="4" t="s">
        <v>85</v>
      </c>
      <c r="B19" s="4" t="s">
        <v>86</v>
      </c>
      <c r="C19" s="4" t="s">
        <v>102</v>
      </c>
      <c r="D19" s="4" t="s">
        <v>103</v>
      </c>
      <c r="E19" s="4"/>
      <c r="F19" s="4" t="s">
        <v>89</v>
      </c>
    </row>
    <row r="20" spans="1:6" ht="15" customHeight="1" x14ac:dyDescent="0.2">
      <c r="A20" t="s">
        <v>104</v>
      </c>
      <c r="B20" s="38">
        <f>C20</f>
        <v>81.474002418379683</v>
      </c>
      <c r="C20" s="39">
        <f>C22/(C6*2)*365</f>
        <v>81.474002418379683</v>
      </c>
      <c r="D20" s="40">
        <f>B20</f>
        <v>81.474002418379683</v>
      </c>
      <c r="F20" s="36" t="s">
        <v>105</v>
      </c>
    </row>
    <row r="21" spans="1:6" ht="15" customHeight="1" x14ac:dyDescent="0.2">
      <c r="A21" t="s">
        <v>106</v>
      </c>
      <c r="B21" s="31">
        <f>C21*(1+D53)</f>
        <v>84.2</v>
      </c>
      <c r="C21" s="30">
        <v>84.2</v>
      </c>
      <c r="D21" s="35">
        <f>B21</f>
        <v>84.2</v>
      </c>
      <c r="F21" s="36" t="s">
        <v>107</v>
      </c>
    </row>
    <row r="22" spans="1:6" ht="15" customHeight="1" x14ac:dyDescent="0.2">
      <c r="A22" t="s">
        <v>108</v>
      </c>
      <c r="C22" s="30">
        <v>184.6</v>
      </c>
      <c r="D22" s="35">
        <f>D20/365*E6</f>
        <v>194.67148773941364</v>
      </c>
      <c r="F22" s="2" t="s">
        <v>109</v>
      </c>
    </row>
    <row r="23" spans="1:6" ht="15" customHeight="1" x14ac:dyDescent="0.2">
      <c r="A23" t="s">
        <v>110</v>
      </c>
      <c r="C23" s="7">
        <f>C21+C22</f>
        <v>268.8</v>
      </c>
      <c r="D23" s="32">
        <f>D21+D22</f>
        <v>278.87148773941362</v>
      </c>
    </row>
    <row r="24" spans="1:6" ht="15" customHeight="1" x14ac:dyDescent="0.2">
      <c r="A24" t="s">
        <v>111</v>
      </c>
      <c r="C24" s="11">
        <f>C23/(C6*2)*365</f>
        <v>118.63603385731561</v>
      </c>
      <c r="D24" s="40">
        <f>D23/E6*365</f>
        <v>116.71342593791675</v>
      </c>
    </row>
    <row r="25" spans="1:6" ht="15" customHeight="1" x14ac:dyDescent="0.2">
      <c r="A25" t="s">
        <v>112</v>
      </c>
      <c r="C25" s="30">
        <v>31.3</v>
      </c>
    </row>
    <row r="26" spans="1:6" ht="15" customHeight="1" x14ac:dyDescent="0.2">
      <c r="A26" t="s">
        <v>113</v>
      </c>
      <c r="B26" s="34">
        <v>7.7</v>
      </c>
    </row>
    <row r="27" spans="1:6" ht="15" customHeight="1" x14ac:dyDescent="0.2">
      <c r="A27" t="s">
        <v>114</v>
      </c>
      <c r="D27" s="32">
        <f>C25+B26</f>
        <v>39</v>
      </c>
    </row>
    <row r="28" spans="1:6" ht="15" customHeight="1" x14ac:dyDescent="0.2">
      <c r="A28" t="s">
        <v>15</v>
      </c>
      <c r="D28" s="41">
        <f>B26/D6</f>
        <v>1.6789505206131754E-2</v>
      </c>
    </row>
    <row r="29" spans="1:6" ht="15" customHeight="1" x14ac:dyDescent="0.2">
      <c r="A29" t="s">
        <v>115</v>
      </c>
      <c r="C29" s="9">
        <f>C25/C22</f>
        <v>0.1695557963163597</v>
      </c>
      <c r="D29" s="41">
        <f>D27/D22</f>
        <v>0.20033750423793556</v>
      </c>
    </row>
    <row r="31" spans="1:6" ht="18" customHeight="1" x14ac:dyDescent="0.2">
      <c r="A31" s="92" t="s">
        <v>116</v>
      </c>
      <c r="B31" s="87"/>
      <c r="C31" s="87"/>
      <c r="D31" s="87"/>
      <c r="E31" s="87"/>
      <c r="F31" s="87"/>
    </row>
    <row r="32" spans="1:6" ht="15" customHeight="1" x14ac:dyDescent="0.2">
      <c r="A32" s="4" t="s">
        <v>85</v>
      </c>
      <c r="B32" s="4" t="s">
        <v>86</v>
      </c>
      <c r="C32" s="4" t="s">
        <v>102</v>
      </c>
      <c r="D32" s="4" t="s">
        <v>103</v>
      </c>
      <c r="E32" s="4"/>
      <c r="F32" s="4" t="s">
        <v>89</v>
      </c>
    </row>
    <row r="33" spans="1:6" ht="15" customHeight="1" x14ac:dyDescent="0.2">
      <c r="A33" t="s">
        <v>117</v>
      </c>
      <c r="C33" s="30">
        <v>178.8</v>
      </c>
    </row>
    <row r="34" spans="1:6" ht="15" customHeight="1" x14ac:dyDescent="0.2">
      <c r="A34" t="s">
        <v>118</v>
      </c>
      <c r="B34" s="42">
        <f>E115</f>
        <v>1.2472406181015459</v>
      </c>
      <c r="D34" s="35">
        <f>D9*B34-(D22-C22)</f>
        <v>77.373177398419827</v>
      </c>
      <c r="F34" s="36" t="s">
        <v>119</v>
      </c>
    </row>
    <row r="35" spans="1:6" ht="15" customHeight="1" x14ac:dyDescent="0.2">
      <c r="A35" t="s">
        <v>120</v>
      </c>
      <c r="B35" s="37">
        <v>0.01</v>
      </c>
      <c r="D35" s="35">
        <f>D6*B35</f>
        <v>4.5861982860506547</v>
      </c>
    </row>
    <row r="36" spans="1:6" ht="15" customHeight="1" x14ac:dyDescent="0.2">
      <c r="A36" t="s">
        <v>121</v>
      </c>
      <c r="D36" s="34">
        <v>10</v>
      </c>
    </row>
    <row r="37" spans="1:6" ht="15" customHeight="1" x14ac:dyDescent="0.2">
      <c r="A37" t="s">
        <v>122</v>
      </c>
      <c r="D37" s="30">
        <v>10.8</v>
      </c>
    </row>
    <row r="38" spans="1:6" ht="15" customHeight="1" x14ac:dyDescent="0.2">
      <c r="A38" t="s">
        <v>123</v>
      </c>
      <c r="D38" s="43">
        <f>E102</f>
        <v>1.7999999999999972</v>
      </c>
    </row>
    <row r="39" spans="1:6" ht="15" customHeight="1" x14ac:dyDescent="0.2">
      <c r="A39" t="s">
        <v>124</v>
      </c>
      <c r="D39" s="34">
        <v>5.3</v>
      </c>
    </row>
    <row r="40" spans="1:6" ht="15" customHeight="1" x14ac:dyDescent="0.2">
      <c r="A40" t="s">
        <v>125</v>
      </c>
      <c r="D40" s="32">
        <f>C33+D34-D35-D36-D37-D38-D39</f>
        <v>223.68697911236916</v>
      </c>
    </row>
    <row r="41" spans="1:6" ht="15" customHeight="1" x14ac:dyDescent="0.2">
      <c r="A41" t="s">
        <v>126</v>
      </c>
      <c r="C41" s="30">
        <v>549.79999999999995</v>
      </c>
      <c r="F41" s="2" t="s">
        <v>127</v>
      </c>
    </row>
    <row r="42" spans="1:6" ht="15" customHeight="1" x14ac:dyDescent="0.2">
      <c r="A42" t="s">
        <v>128</v>
      </c>
      <c r="D42" s="35">
        <f>C41+D15-D37-D38</f>
        <v>594.43003359325758</v>
      </c>
    </row>
    <row r="43" spans="1:6" ht="15" customHeight="1" x14ac:dyDescent="0.2">
      <c r="A43" t="s">
        <v>129</v>
      </c>
      <c r="C43" s="30">
        <v>371</v>
      </c>
    </row>
    <row r="44" spans="1:6" ht="15" customHeight="1" x14ac:dyDescent="0.2">
      <c r="A44" t="s">
        <v>130</v>
      </c>
      <c r="D44" s="32">
        <f>D42-D40</f>
        <v>370.74305448088842</v>
      </c>
    </row>
    <row r="45" spans="1:6" ht="15" customHeight="1" x14ac:dyDescent="0.2">
      <c r="A45" t="s">
        <v>131</v>
      </c>
      <c r="C45" s="30">
        <v>267.7</v>
      </c>
    </row>
    <row r="46" spans="1:6" ht="15" customHeight="1" x14ac:dyDescent="0.2">
      <c r="A46" t="s">
        <v>132</v>
      </c>
      <c r="D46" s="35">
        <f>(C45 + 2*C43 + D44)/4</f>
        <v>345.11076362022209</v>
      </c>
    </row>
    <row r="47" spans="1:6" ht="15" customHeight="1" x14ac:dyDescent="0.2">
      <c r="A47" t="s">
        <v>133</v>
      </c>
      <c r="D47" s="44">
        <f>E16/D46</f>
        <v>0.28131992342057632</v>
      </c>
    </row>
    <row r="50" spans="1:10" ht="15" customHeight="1" x14ac:dyDescent="0.2">
      <c r="A50" s="90" t="s">
        <v>134</v>
      </c>
      <c r="B50" s="87"/>
      <c r="C50" s="87"/>
      <c r="D50" s="87"/>
      <c r="E50" s="87"/>
      <c r="F50" s="87"/>
      <c r="G50" s="87"/>
      <c r="H50" s="87"/>
      <c r="I50" s="87"/>
      <c r="J50" s="87"/>
    </row>
    <row r="51" spans="1:10" ht="54.75" customHeight="1" x14ac:dyDescent="0.2">
      <c r="A51" s="45" t="s">
        <v>135</v>
      </c>
      <c r="B51" s="45" t="s">
        <v>136</v>
      </c>
      <c r="C51" s="45" t="s">
        <v>137</v>
      </c>
      <c r="D51" s="45" t="s">
        <v>138</v>
      </c>
      <c r="E51" s="45" t="s">
        <v>139</v>
      </c>
      <c r="F51" s="45" t="s">
        <v>140</v>
      </c>
      <c r="G51" s="45" t="s">
        <v>141</v>
      </c>
      <c r="H51" s="45" t="s">
        <v>142</v>
      </c>
      <c r="I51" s="45" t="s">
        <v>143</v>
      </c>
      <c r="J51" s="45" t="s">
        <v>144</v>
      </c>
    </row>
    <row r="52" spans="1:10" ht="15" customHeight="1" x14ac:dyDescent="0.2">
      <c r="A52" s="24" t="s">
        <v>145</v>
      </c>
      <c r="B52" s="15">
        <v>310.3</v>
      </c>
      <c r="C52" s="15">
        <v>64.8</v>
      </c>
      <c r="D52" s="46">
        <f>C87</f>
        <v>0.13168813601374627</v>
      </c>
      <c r="E52" s="47">
        <v>0.26100000000000001</v>
      </c>
      <c r="F52" s="48">
        <f>B52*D52</f>
        <v>40.862828605065467</v>
      </c>
      <c r="G52" s="48">
        <f>F52*E52</f>
        <v>10.665198265922086</v>
      </c>
      <c r="H52" s="48">
        <f t="shared" ref="H52:I55" si="0">B52+F52</f>
        <v>351.1628286050655</v>
      </c>
      <c r="I52" s="48">
        <f t="shared" si="0"/>
        <v>75.465198265922083</v>
      </c>
      <c r="J52" s="46">
        <f>I52/H52</f>
        <v>0.21490087252598666</v>
      </c>
    </row>
    <row r="53" spans="1:10" ht="15" customHeight="1" x14ac:dyDescent="0.2">
      <c r="A53" s="24" t="s">
        <v>146</v>
      </c>
      <c r="B53" s="15">
        <v>48.1</v>
      </c>
      <c r="C53" s="15">
        <v>11.7</v>
      </c>
      <c r="D53" s="47">
        <v>0</v>
      </c>
      <c r="E53" s="47">
        <v>0.375</v>
      </c>
      <c r="F53" s="48">
        <f>B53*D53</f>
        <v>0</v>
      </c>
      <c r="G53" s="48">
        <f>F53*E53</f>
        <v>0</v>
      </c>
      <c r="H53" s="48">
        <f t="shared" si="0"/>
        <v>48.1</v>
      </c>
      <c r="I53" s="48">
        <f t="shared" si="0"/>
        <v>11.7</v>
      </c>
      <c r="J53" s="46">
        <f>I53/H53</f>
        <v>0.24324324324324323</v>
      </c>
    </row>
    <row r="54" spans="1:10" ht="15" customHeight="1" x14ac:dyDescent="0.2">
      <c r="A54" s="24" t="s">
        <v>147</v>
      </c>
      <c r="B54" s="15">
        <v>40</v>
      </c>
      <c r="C54" s="15">
        <v>2.6</v>
      </c>
      <c r="D54" s="47">
        <v>0.08</v>
      </c>
      <c r="E54" s="47">
        <v>-4.7E-2</v>
      </c>
      <c r="F54" s="48">
        <f>B54*D54</f>
        <v>3.2</v>
      </c>
      <c r="G54" s="48">
        <f>F54*E54</f>
        <v>-0.15040000000000001</v>
      </c>
      <c r="H54" s="48">
        <f t="shared" si="0"/>
        <v>43.2</v>
      </c>
      <c r="I54" s="48">
        <f t="shared" si="0"/>
        <v>2.4496000000000002</v>
      </c>
      <c r="J54" s="46">
        <f>I54/H54</f>
        <v>5.6703703703703708E-2</v>
      </c>
    </row>
    <row r="55" spans="1:10" ht="15" customHeight="1" x14ac:dyDescent="0.2">
      <c r="A55" s="24" t="s">
        <v>148</v>
      </c>
      <c r="B55" s="15">
        <v>15.1</v>
      </c>
      <c r="C55" s="15">
        <v>6.3</v>
      </c>
      <c r="D55" s="47">
        <v>7.0000000000000007E-2</v>
      </c>
      <c r="E55" s="47">
        <v>0.6</v>
      </c>
      <c r="F55" s="48">
        <f>B55*D55</f>
        <v>1.0570000000000002</v>
      </c>
      <c r="G55" s="48">
        <f>F55*E55</f>
        <v>0.6342000000000001</v>
      </c>
      <c r="H55" s="48">
        <f t="shared" si="0"/>
        <v>16.157</v>
      </c>
      <c r="I55" s="48">
        <f t="shared" si="0"/>
        <v>6.9341999999999997</v>
      </c>
      <c r="J55" s="46">
        <f>I55/H55</f>
        <v>0.4291762084545398</v>
      </c>
    </row>
    <row r="56" spans="1:10" ht="15" customHeight="1" x14ac:dyDescent="0.2">
      <c r="A56" s="22" t="s">
        <v>149</v>
      </c>
      <c r="B56" s="49">
        <f>SUM(B52:B55)</f>
        <v>413.50000000000006</v>
      </c>
      <c r="C56" s="49">
        <f>SUM(C52:C55)</f>
        <v>85.399999999999991</v>
      </c>
      <c r="H56" s="49">
        <f>SUM(H52:H55)</f>
        <v>458.61982860506549</v>
      </c>
      <c r="I56" s="49">
        <f>SUM(I52:I55)</f>
        <v>96.548998265922094</v>
      </c>
      <c r="J56" s="50">
        <f>I56/H56</f>
        <v>0.2105207674068188</v>
      </c>
    </row>
    <row r="58" spans="1:10" ht="15" customHeight="1" x14ac:dyDescent="0.2">
      <c r="A58" s="90" t="s">
        <v>150</v>
      </c>
      <c r="B58" s="87"/>
      <c r="C58" s="87"/>
      <c r="D58" s="87"/>
      <c r="E58" s="87"/>
      <c r="F58" s="87"/>
    </row>
    <row r="59" spans="1:10" ht="15" customHeight="1" x14ac:dyDescent="0.2">
      <c r="A59" s="24" t="s">
        <v>151</v>
      </c>
      <c r="C59" s="15">
        <v>-28.6</v>
      </c>
    </row>
    <row r="60" spans="1:10" ht="15" customHeight="1" x14ac:dyDescent="0.2">
      <c r="A60" s="24" t="s">
        <v>152</v>
      </c>
      <c r="B60" s="47">
        <v>0</v>
      </c>
    </row>
    <row r="61" spans="1:10" ht="15" customHeight="1" x14ac:dyDescent="0.2">
      <c r="A61" s="24" t="s">
        <v>153</v>
      </c>
      <c r="D61" s="48">
        <f>C59*(1+B60)</f>
        <v>-28.6</v>
      </c>
    </row>
    <row r="63" spans="1:10" ht="15" customHeight="1" x14ac:dyDescent="0.2">
      <c r="A63" s="24" t="s">
        <v>154</v>
      </c>
      <c r="D63" s="48">
        <f>I56</f>
        <v>96.548998265922094</v>
      </c>
    </row>
    <row r="64" spans="1:10" ht="15" customHeight="1" x14ac:dyDescent="0.2">
      <c r="A64" s="24" t="s">
        <v>155</v>
      </c>
      <c r="D64" s="48">
        <f>D63+D61</f>
        <v>67.948998265922086</v>
      </c>
    </row>
    <row r="65" spans="1:6" ht="15" customHeight="1" x14ac:dyDescent="0.2">
      <c r="A65" s="24" t="s">
        <v>156</v>
      </c>
      <c r="C65" s="15">
        <v>7.7</v>
      </c>
      <c r="D65" s="48">
        <f>-(B26-C65)</f>
        <v>0</v>
      </c>
    </row>
    <row r="66" spans="1:6" ht="15" customHeight="1" x14ac:dyDescent="0.2">
      <c r="A66" s="24" t="s">
        <v>157</v>
      </c>
      <c r="C66" s="51">
        <v>1.3446</v>
      </c>
    </row>
    <row r="67" spans="1:6" ht="15" customHeight="1" x14ac:dyDescent="0.2">
      <c r="A67" s="24" t="s">
        <v>158</v>
      </c>
      <c r="B67" s="52">
        <v>1.31</v>
      </c>
    </row>
    <row r="68" spans="1:6" ht="15" customHeight="1" x14ac:dyDescent="0.2">
      <c r="A68" s="24" t="s">
        <v>159</v>
      </c>
      <c r="D68" s="53">
        <f>(C66-B67)/C66*100</f>
        <v>2.5732559869106026</v>
      </c>
    </row>
    <row r="69" spans="1:6" ht="15" customHeight="1" x14ac:dyDescent="0.2">
      <c r="A69" s="24" t="s">
        <v>160</v>
      </c>
      <c r="B69" s="54">
        <f>IF(D68&gt;=0,C93,C94)</f>
        <v>1.2362030905077264</v>
      </c>
    </row>
    <row r="70" spans="1:6" ht="15" customHeight="1" x14ac:dyDescent="0.2">
      <c r="A70" s="24" t="s">
        <v>161</v>
      </c>
      <c r="D70" s="53">
        <f>D68*B69</f>
        <v>3.1810670036863966</v>
      </c>
    </row>
    <row r="71" spans="1:6" ht="15" customHeight="1" x14ac:dyDescent="0.2">
      <c r="A71" s="22" t="s">
        <v>162</v>
      </c>
      <c r="D71" s="49">
        <f>D64*(1+D70/100)+D65</f>
        <v>70.110501429094768</v>
      </c>
    </row>
    <row r="73" spans="1:6" ht="126.75" customHeight="1" x14ac:dyDescent="0.2">
      <c r="A73" s="29" t="s">
        <v>163</v>
      </c>
    </row>
    <row r="74" spans="1:6" ht="15" customHeight="1" x14ac:dyDescent="0.2">
      <c r="A74" s="27" t="s">
        <v>164</v>
      </c>
    </row>
    <row r="75" spans="1:6" ht="53.25" customHeight="1" x14ac:dyDescent="0.2">
      <c r="A75" s="29" t="s">
        <v>165</v>
      </c>
    </row>
    <row r="76" spans="1:6" ht="15" customHeight="1" x14ac:dyDescent="0.2">
      <c r="A76" t="s">
        <v>166</v>
      </c>
      <c r="C76" s="55">
        <v>222.2</v>
      </c>
      <c r="F76" s="36" t="s">
        <v>167</v>
      </c>
    </row>
    <row r="77" spans="1:6" ht="15" customHeight="1" x14ac:dyDescent="0.2">
      <c r="A77" t="s">
        <v>168</v>
      </c>
      <c r="C77" s="55">
        <v>8.6</v>
      </c>
    </row>
    <row r="78" spans="1:6" ht="15" customHeight="1" x14ac:dyDescent="0.2">
      <c r="A78" t="s">
        <v>169</v>
      </c>
      <c r="C78" s="56">
        <f>DATE(2026,6,30)-DATE(2026,3,18)+1</f>
        <v>105</v>
      </c>
    </row>
    <row r="79" spans="1:6" ht="15" customHeight="1" x14ac:dyDescent="0.2">
      <c r="A79" t="s">
        <v>170</v>
      </c>
      <c r="C79" s="56">
        <f>DATE(2026,12,31)-DATE(2026,7,1)+1</f>
        <v>184</v>
      </c>
    </row>
    <row r="80" spans="1:6" ht="15" customHeight="1" x14ac:dyDescent="0.2">
      <c r="A80" t="s">
        <v>171</v>
      </c>
      <c r="C80" s="56">
        <f>DATE(2026,12,31)-DATE(2026,9,9)+1</f>
        <v>114</v>
      </c>
    </row>
    <row r="81" spans="1:6" ht="15" customHeight="1" x14ac:dyDescent="0.2">
      <c r="A81" t="s">
        <v>172</v>
      </c>
      <c r="C81" s="57">
        <f>(B52-C77)/C76-1</f>
        <v>0.35778577857785776</v>
      </c>
    </row>
    <row r="82" spans="1:6" ht="15" customHeight="1" x14ac:dyDescent="0.2">
      <c r="A82" t="s">
        <v>173</v>
      </c>
      <c r="C82" s="58">
        <f>C77/C78*C79</f>
        <v>15.070476190476189</v>
      </c>
    </row>
    <row r="83" spans="1:6" ht="15" customHeight="1" x14ac:dyDescent="0.2">
      <c r="A83" t="s">
        <v>174</v>
      </c>
      <c r="C83" s="57">
        <f>(C82-C77)/B52</f>
        <v>2.085232417169252E-2</v>
      </c>
    </row>
    <row r="84" spans="1:6" ht="15" customHeight="1" x14ac:dyDescent="0.2">
      <c r="A84" t="s">
        <v>175</v>
      </c>
      <c r="C84" s="57">
        <f>C80/C79</f>
        <v>0.61956521739130432</v>
      </c>
    </row>
    <row r="85" spans="1:6" ht="15" customHeight="1" x14ac:dyDescent="0.2">
      <c r="A85" t="s">
        <v>176</v>
      </c>
      <c r="C85" s="57">
        <f>0+C83</f>
        <v>2.085232417169252E-2</v>
      </c>
    </row>
    <row r="86" spans="1:6" ht="15" customHeight="1" x14ac:dyDescent="0.2">
      <c r="A86" t="s">
        <v>177</v>
      </c>
      <c r="B86" s="59">
        <v>0.5</v>
      </c>
      <c r="C86" s="57">
        <f>C81*C84*B86</f>
        <v>0.11083581184205375</v>
      </c>
    </row>
    <row r="87" spans="1:6" ht="15" customHeight="1" x14ac:dyDescent="0.2">
      <c r="A87" s="27" t="s">
        <v>178</v>
      </c>
      <c r="C87" s="60">
        <f>C85+C86</f>
        <v>0.13168813601374627</v>
      </c>
    </row>
    <row r="89" spans="1:6" ht="15" customHeight="1" x14ac:dyDescent="0.2">
      <c r="A89" s="90" t="s">
        <v>179</v>
      </c>
      <c r="B89" s="87"/>
      <c r="C89" s="87"/>
      <c r="D89" s="87"/>
      <c r="E89" s="87"/>
      <c r="F89" s="87"/>
    </row>
    <row r="90" spans="1:6" ht="15" customHeight="1" x14ac:dyDescent="0.2">
      <c r="A90" s="24" t="s">
        <v>180</v>
      </c>
      <c r="C90" s="61">
        <v>5.6</v>
      </c>
    </row>
    <row r="91" spans="1:6" ht="15" customHeight="1" x14ac:dyDescent="0.2">
      <c r="A91" s="24" t="s">
        <v>181</v>
      </c>
      <c r="C91" s="61">
        <v>5.0999999999999996</v>
      </c>
    </row>
    <row r="92" spans="1:6" ht="15" customHeight="1" x14ac:dyDescent="0.2">
      <c r="A92" s="24" t="s">
        <v>182</v>
      </c>
      <c r="C92" s="61">
        <v>90.6</v>
      </c>
    </row>
    <row r="93" spans="1:6" ht="15" customHeight="1" x14ac:dyDescent="0.2">
      <c r="A93" s="24" t="s">
        <v>183</v>
      </c>
      <c r="C93" s="54">
        <f>C90/C92/5*100</f>
        <v>1.2362030905077264</v>
      </c>
    </row>
    <row r="94" spans="1:6" ht="15" customHeight="1" x14ac:dyDescent="0.2">
      <c r="A94" s="24" t="s">
        <v>184</v>
      </c>
      <c r="C94" s="54">
        <f>C91/C92/5*100</f>
        <v>1.1258278145695366</v>
      </c>
    </row>
    <row r="96" spans="1:6" ht="15" customHeight="1" x14ac:dyDescent="0.2">
      <c r="A96" s="27" t="s">
        <v>185</v>
      </c>
    </row>
    <row r="97" spans="1:6" ht="30" customHeight="1" x14ac:dyDescent="0.2">
      <c r="A97" s="62" t="s">
        <v>186</v>
      </c>
      <c r="C97" s="62" t="s">
        <v>187</v>
      </c>
      <c r="D97" s="62" t="s">
        <v>188</v>
      </c>
      <c r="E97" s="62" t="s">
        <v>189</v>
      </c>
    </row>
    <row r="98" spans="1:6" ht="15" customHeight="1" x14ac:dyDescent="0.2">
      <c r="A98" s="24" t="s">
        <v>190</v>
      </c>
      <c r="C98" s="61">
        <v>5.5</v>
      </c>
      <c r="D98" s="61">
        <v>2.1</v>
      </c>
      <c r="E98" s="58">
        <f t="shared" ref="E98:E104" si="1">C98-D98</f>
        <v>3.4</v>
      </c>
    </row>
    <row r="99" spans="1:6" ht="15" customHeight="1" x14ac:dyDescent="0.2">
      <c r="A99" s="24" t="s">
        <v>191</v>
      </c>
      <c r="C99" s="61">
        <v>1.9</v>
      </c>
      <c r="D99" s="61">
        <v>0.5</v>
      </c>
      <c r="E99" s="58">
        <f t="shared" si="1"/>
        <v>1.4</v>
      </c>
    </row>
    <row r="100" spans="1:6" ht="15" customHeight="1" x14ac:dyDescent="0.2">
      <c r="A100" s="24" t="s">
        <v>192</v>
      </c>
      <c r="C100" s="61">
        <v>2.2999999999999998</v>
      </c>
      <c r="D100" s="61">
        <v>2.2999999999999998</v>
      </c>
      <c r="E100" s="58">
        <f t="shared" si="1"/>
        <v>0</v>
      </c>
    </row>
    <row r="101" spans="1:6" ht="15" customHeight="1" x14ac:dyDescent="0.2">
      <c r="A101" s="24" t="s">
        <v>193</v>
      </c>
      <c r="C101" s="61">
        <v>33</v>
      </c>
      <c r="D101" s="61">
        <v>23.1</v>
      </c>
      <c r="E101" s="58">
        <f t="shared" si="1"/>
        <v>9.8999999999999986</v>
      </c>
    </row>
    <row r="102" spans="1:6" ht="15" customHeight="1" x14ac:dyDescent="0.2">
      <c r="A102" s="24" t="s">
        <v>194</v>
      </c>
      <c r="C102" s="61">
        <v>33.4</v>
      </c>
      <c r="D102" s="61">
        <v>31.6</v>
      </c>
      <c r="E102" s="58">
        <f t="shared" si="1"/>
        <v>1.7999999999999972</v>
      </c>
    </row>
    <row r="103" spans="1:6" ht="15" customHeight="1" x14ac:dyDescent="0.2">
      <c r="A103" s="24" t="s">
        <v>195</v>
      </c>
      <c r="C103" s="61">
        <v>11.2</v>
      </c>
      <c r="D103" s="61">
        <v>5.6</v>
      </c>
      <c r="E103" s="58">
        <f t="shared" si="1"/>
        <v>5.6</v>
      </c>
    </row>
    <row r="104" spans="1:6" ht="15" customHeight="1" x14ac:dyDescent="0.2">
      <c r="A104" s="24" t="s">
        <v>196</v>
      </c>
      <c r="C104" s="61">
        <v>78</v>
      </c>
      <c r="D104" s="61">
        <v>32.700000000000003</v>
      </c>
      <c r="E104" s="58">
        <f t="shared" si="1"/>
        <v>45.3</v>
      </c>
    </row>
    <row r="105" spans="1:6" ht="15" customHeight="1" x14ac:dyDescent="0.2">
      <c r="A105" s="24" t="s">
        <v>197</v>
      </c>
      <c r="C105" s="61">
        <v>227.1</v>
      </c>
    </row>
    <row r="106" spans="1:6" ht="15" customHeight="1" x14ac:dyDescent="0.2">
      <c r="A106" s="24" t="s">
        <v>198</v>
      </c>
      <c r="C106" s="61">
        <v>260.10000000000002</v>
      </c>
    </row>
    <row r="107" spans="1:6" ht="15" customHeight="1" x14ac:dyDescent="0.2">
      <c r="A107" s="24" t="s">
        <v>199</v>
      </c>
      <c r="E107" s="58">
        <f>(C106-C105)+SUM(E98:E103)</f>
        <v>55.100000000000023</v>
      </c>
    </row>
    <row r="108" spans="1:6" ht="15" customHeight="1" x14ac:dyDescent="0.2">
      <c r="A108" s="24" t="s">
        <v>200</v>
      </c>
      <c r="E108" s="63">
        <f>E107/E104</f>
        <v>1.2163355408388528</v>
      </c>
    </row>
    <row r="109" spans="1:6" ht="105" customHeight="1" x14ac:dyDescent="0.2">
      <c r="A109" s="91" t="s">
        <v>201</v>
      </c>
      <c r="B109" s="87"/>
      <c r="C109" s="87"/>
      <c r="D109" s="87"/>
      <c r="E109" s="87"/>
      <c r="F109" s="87"/>
    </row>
    <row r="111" spans="1:6" ht="15" customHeight="1" x14ac:dyDescent="0.2">
      <c r="A111" s="27" t="s">
        <v>202</v>
      </c>
    </row>
    <row r="112" spans="1:6" ht="15" customHeight="1" x14ac:dyDescent="0.2">
      <c r="A112" s="24" t="s">
        <v>203</v>
      </c>
      <c r="C112" s="61">
        <v>67.5</v>
      </c>
      <c r="D112" s="61">
        <v>22.2</v>
      </c>
      <c r="E112" s="58">
        <f>C112-D112</f>
        <v>45.3</v>
      </c>
    </row>
    <row r="113" spans="1:6" ht="15" customHeight="1" x14ac:dyDescent="0.2">
      <c r="A113" s="24" t="s">
        <v>204</v>
      </c>
      <c r="C113" s="61">
        <v>60.9</v>
      </c>
      <c r="D113" s="61">
        <v>17</v>
      </c>
      <c r="E113" s="58">
        <f>C113-D113</f>
        <v>43.9</v>
      </c>
    </row>
    <row r="114" spans="1:6" ht="15" customHeight="1" x14ac:dyDescent="0.2">
      <c r="A114" s="24" t="s">
        <v>205</v>
      </c>
      <c r="E114" s="58">
        <f>E112-E113</f>
        <v>1.3999999999999986</v>
      </c>
    </row>
    <row r="115" spans="1:6" ht="15" customHeight="1" x14ac:dyDescent="0.2">
      <c r="A115" s="27" t="s">
        <v>206</v>
      </c>
      <c r="E115" s="64">
        <f>(E107+E114)/E104</f>
        <v>1.2472406181015459</v>
      </c>
    </row>
    <row r="116" spans="1:6" ht="79.5" customHeight="1" x14ac:dyDescent="0.2">
      <c r="A116" s="91" t="s">
        <v>207</v>
      </c>
      <c r="B116" s="87"/>
      <c r="C116" s="87"/>
      <c r="D116" s="87"/>
      <c r="E116" s="87"/>
      <c r="F116" s="87"/>
    </row>
    <row r="118" spans="1:6" ht="15" customHeight="1" x14ac:dyDescent="0.2">
      <c r="A118" s="90" t="s">
        <v>208</v>
      </c>
      <c r="B118" s="87"/>
      <c r="C118" s="87"/>
      <c r="D118" s="87"/>
      <c r="E118" s="87"/>
      <c r="F118" s="87"/>
    </row>
    <row r="119" spans="1:6" ht="15" customHeight="1" x14ac:dyDescent="0.2">
      <c r="A119" s="27" t="s">
        <v>58</v>
      </c>
      <c r="B119" s="65">
        <v>0</v>
      </c>
      <c r="C119" s="65">
        <v>0.25</v>
      </c>
      <c r="D119" s="65">
        <v>0.5</v>
      </c>
      <c r="E119" s="65">
        <v>0.75</v>
      </c>
      <c r="F119" s="65">
        <v>1</v>
      </c>
    </row>
    <row r="120" spans="1:6" ht="15" customHeight="1" x14ac:dyDescent="0.2">
      <c r="A120" s="24" t="s">
        <v>209</v>
      </c>
      <c r="B120" s="46">
        <f>$C$85+$C$81*$C$84*B119</f>
        <v>2.085232417169252E-2</v>
      </c>
      <c r="C120" s="46">
        <f>$C$85+$C$81*$C$84*C119</f>
        <v>7.6270230092719396E-2</v>
      </c>
      <c r="D120" s="46">
        <f>$C$85+$C$81*$C$84*D119</f>
        <v>0.13168813601374627</v>
      </c>
      <c r="E120" s="46">
        <f>$C$85+$C$81*$C$84*E119</f>
        <v>0.18710604193477315</v>
      </c>
      <c r="F120" s="46">
        <f>$C$85+$C$81*$C$84*F119</f>
        <v>0.24252394785580003</v>
      </c>
    </row>
    <row r="121" spans="1:6" ht="15" customHeight="1" x14ac:dyDescent="0.2">
      <c r="A121" s="24" t="s">
        <v>210</v>
      </c>
      <c r="B121" s="48">
        <f>$D$6+$B$52*(B120-$D$52)</f>
        <v>424.22747619047624</v>
      </c>
      <c r="C121" s="48">
        <f>$D$6+$B$52*(C120-$D$52)</f>
        <v>441.42365239777087</v>
      </c>
      <c r="D121" s="48">
        <f>$D$6+$B$52*(D120-$D$52)</f>
        <v>458.61982860506549</v>
      </c>
      <c r="E121" s="48">
        <f>$D$6+$B$52*(E120-$D$52)</f>
        <v>475.81600481236012</v>
      </c>
      <c r="F121" s="48">
        <f>$D$6+$B$52*(F120-$D$52)</f>
        <v>493.0121810196548</v>
      </c>
    </row>
    <row r="122" spans="1:6" ht="15" customHeight="1" x14ac:dyDescent="0.2">
      <c r="A122" s="24" t="s">
        <v>211</v>
      </c>
      <c r="B122" s="48">
        <f>$C$6+B121</f>
        <v>837.72747619047618</v>
      </c>
      <c r="C122" s="48">
        <f>$C$6+C121</f>
        <v>854.92365239777087</v>
      </c>
      <c r="D122" s="48">
        <f>$C$6+D121</f>
        <v>872.11982860506555</v>
      </c>
      <c r="E122" s="48">
        <f>$C$6+E121</f>
        <v>889.31600481236012</v>
      </c>
      <c r="F122" s="48">
        <f>$C$6+F121</f>
        <v>906.5121810196548</v>
      </c>
    </row>
    <row r="123" spans="1:6" ht="15" customHeight="1" x14ac:dyDescent="0.2">
      <c r="A123" s="27" t="s">
        <v>212</v>
      </c>
      <c r="B123" s="66">
        <f>$D$71+$B$52*(B120-$D$52)*$E$52*(1+$D$70/100)</f>
        <v>60.848552023754984</v>
      </c>
      <c r="C123" s="66">
        <f>$D$71+$B$52*(C120-$D$52)*$E$52*(1+$D$70/100)</f>
        <v>65.479526726424879</v>
      </c>
      <c r="D123" s="66">
        <f>$D$71+$B$52*(D120-$D$52)*$E$52*(1+$D$70/100)</f>
        <v>70.110501429094768</v>
      </c>
      <c r="E123" s="66">
        <f>$D$71+$B$52*(E120-$D$52)*$E$52*(1+$D$70/100)</f>
        <v>74.741476131764657</v>
      </c>
      <c r="F123" s="66">
        <f>$D$71+$B$52*(F120-$D$52)*$E$52*(1+$D$70/100)</f>
        <v>79.372450834434545</v>
      </c>
    </row>
    <row r="124" spans="1:6" ht="15" customHeight="1" x14ac:dyDescent="0.2">
      <c r="A124" s="24" t="s">
        <v>213</v>
      </c>
      <c r="B124" s="46">
        <f>B123/$C$9-1</f>
        <v>7.1277324361883609E-2</v>
      </c>
      <c r="C124" s="46">
        <f>C123/$C$9-1</f>
        <v>0.15280856912719853</v>
      </c>
      <c r="D124" s="46">
        <f>D123/$C$9-1</f>
        <v>0.23433981389251368</v>
      </c>
      <c r="E124" s="46">
        <f>E123/$C$9-1</f>
        <v>0.31587105865782861</v>
      </c>
      <c r="F124" s="46">
        <f>F123/$C$9-1</f>
        <v>0.39740230342314353</v>
      </c>
    </row>
    <row r="125" spans="1:6" ht="15" customHeight="1" x14ac:dyDescent="0.2">
      <c r="A125" s="24" t="s">
        <v>214</v>
      </c>
      <c r="B125" s="48">
        <f>$C$9+B123</f>
        <v>117.64855202375497</v>
      </c>
      <c r="C125" s="48">
        <f>$C$9+C123</f>
        <v>122.27952672642488</v>
      </c>
      <c r="D125" s="48">
        <f>$C$9+D123</f>
        <v>126.91050142909477</v>
      </c>
      <c r="E125" s="48">
        <f>$C$9+E123</f>
        <v>131.54147613176465</v>
      </c>
      <c r="F125" s="48">
        <f>$C$9+F123</f>
        <v>136.17245083443453</v>
      </c>
    </row>
    <row r="126" spans="1:6" ht="15" customHeight="1" x14ac:dyDescent="0.2">
      <c r="A126" s="24" t="s">
        <v>215</v>
      </c>
      <c r="B126" s="46">
        <f>B125/B122</f>
        <v>0.1404377382472351</v>
      </c>
      <c r="C126" s="46">
        <f>C125/C122</f>
        <v>0.14302976222902744</v>
      </c>
      <c r="D126" s="46">
        <f>D125/D122</f>
        <v>0.14551956883274289</v>
      </c>
      <c r="E126" s="46">
        <f>E125/E122</f>
        <v>0.14791308760885175</v>
      </c>
      <c r="F126" s="46">
        <f>F125/F122</f>
        <v>0.15021579818295025</v>
      </c>
    </row>
    <row r="127" spans="1:6" ht="15" customHeight="1" x14ac:dyDescent="0.2">
      <c r="A127" s="24" t="s">
        <v>216</v>
      </c>
      <c r="B127" s="48">
        <f>B125*(1-$B$13)</f>
        <v>90.001142298172553</v>
      </c>
      <c r="C127" s="48">
        <f>C125*(1-$B$13)</f>
        <v>93.543837945715026</v>
      </c>
      <c r="D127" s="48">
        <f>D125*(1-$B$13)</f>
        <v>97.086533593257499</v>
      </c>
      <c r="E127" s="48">
        <f>E125*(1-$B$13)</f>
        <v>100.62922924079996</v>
      </c>
      <c r="F127" s="48">
        <f>F125*(1-$B$13)</f>
        <v>104.17192488834242</v>
      </c>
    </row>
    <row r="128" spans="1:6" ht="15" customHeight="1" x14ac:dyDescent="0.2">
      <c r="A128" s="24" t="s">
        <v>217</v>
      </c>
      <c r="B128" s="48">
        <f>(B123+$D$11)*(1-$B$13)</f>
        <v>50.144642298172563</v>
      </c>
      <c r="C128" s="48">
        <f>(C123+$D$11)*(1-$B$13)</f>
        <v>53.687337945715036</v>
      </c>
      <c r="D128" s="48">
        <f>(D123+$D$11)*(1-$B$13)</f>
        <v>57.230033593257502</v>
      </c>
      <c r="E128" s="48">
        <f>(E123+$D$11)*(1-$B$13)</f>
        <v>60.772729240799968</v>
      </c>
      <c r="F128" s="48">
        <f>(F123+$D$11)*(1-$B$13)</f>
        <v>64.315424888342434</v>
      </c>
    </row>
    <row r="129" spans="1:6" ht="15" customHeight="1" x14ac:dyDescent="0.2">
      <c r="A129" s="24" t="s">
        <v>218</v>
      </c>
      <c r="B129" s="48">
        <f>$D$20/365*B122-$C$22</f>
        <v>2.3945490988656388</v>
      </c>
      <c r="C129" s="48">
        <f>$D$20/365*C122-$C$22</f>
        <v>6.233018419139654</v>
      </c>
      <c r="D129" s="48">
        <f>$D$20/365*D122-$C$22</f>
        <v>10.071487739413641</v>
      </c>
      <c r="E129" s="48">
        <f>$D$20/365*E122-$C$22</f>
        <v>13.909957059687628</v>
      </c>
      <c r="F129" s="48">
        <f>$D$20/365*F122-$C$22</f>
        <v>17.748426379961643</v>
      </c>
    </row>
    <row r="130" spans="1:6" ht="15" customHeight="1" x14ac:dyDescent="0.2">
      <c r="A130" s="24" t="s">
        <v>219</v>
      </c>
      <c r="B130" s="48">
        <f>B123*$B$34-B129</f>
        <v>73.4982365378266</v>
      </c>
      <c r="C130" s="48">
        <f>C123*$B$34-C129</f>
        <v>75.435706968123199</v>
      </c>
      <c r="D130" s="48">
        <f>D123*$B$34-D129</f>
        <v>77.373177398419827</v>
      </c>
      <c r="E130" s="48">
        <f>E123*$B$34-E129</f>
        <v>79.310647828716455</v>
      </c>
      <c r="F130" s="48">
        <f>F123*$B$34-F129</f>
        <v>81.248118259013054</v>
      </c>
    </row>
    <row r="131" spans="1:6" ht="15" customHeight="1" x14ac:dyDescent="0.2">
      <c r="A131" s="24" t="s">
        <v>220</v>
      </c>
      <c r="B131" s="48">
        <f>$C$33+B130-B121*$B$35-$D$36-$D$37-$D$38-$D$39</f>
        <v>220.15596177592181</v>
      </c>
      <c r="C131" s="48">
        <f>$C$33+C130-C121*$B$35-$D$36-$D$37-$D$38-$D$39</f>
        <v>221.92147044414548</v>
      </c>
      <c r="D131" s="48">
        <f>$C$33+D130-D121*$B$35-$D$36-$D$37-$D$38-$D$39</f>
        <v>223.68697911236916</v>
      </c>
      <c r="E131" s="48">
        <f>$C$33+E130-E121*$B$35-$D$36-$D$37-$D$38-$D$39</f>
        <v>225.45248778059283</v>
      </c>
      <c r="F131" s="48">
        <f>$C$33+F130-F121*$B$35-$D$36-$D$37-$D$38-$D$39</f>
        <v>227.21799644881651</v>
      </c>
    </row>
    <row r="132" spans="1:6" ht="15" customHeight="1" x14ac:dyDescent="0.2">
      <c r="A132" s="24" t="s">
        <v>221</v>
      </c>
      <c r="B132" s="48">
        <f>$C$41+B128-$D$37-$D$38</f>
        <v>587.34464229817263</v>
      </c>
      <c r="C132" s="48">
        <f>$C$41+C128-$D$37-$D$38</f>
        <v>590.8873379457151</v>
      </c>
      <c r="D132" s="48">
        <f>$C$41+D128-$D$37-$D$38</f>
        <v>594.43003359325758</v>
      </c>
      <c r="E132" s="48">
        <f>$C$41+E128-$D$37-$D$38</f>
        <v>597.97272924080005</v>
      </c>
      <c r="F132" s="48">
        <f>$C$41+F128-$D$37-$D$38</f>
        <v>601.51542488834252</v>
      </c>
    </row>
    <row r="133" spans="1:6" ht="15" customHeight="1" x14ac:dyDescent="0.2">
      <c r="A133" s="24" t="s">
        <v>222</v>
      </c>
      <c r="B133" s="48">
        <f>B132-B131</f>
        <v>367.18868052225082</v>
      </c>
      <c r="C133" s="48">
        <f>C132-C131</f>
        <v>368.96586750156962</v>
      </c>
      <c r="D133" s="48">
        <f>D132-D131</f>
        <v>370.74305448088842</v>
      </c>
      <c r="E133" s="48">
        <f>E132-E131</f>
        <v>372.52024146020722</v>
      </c>
      <c r="F133" s="48">
        <f>F132-F131</f>
        <v>374.29742843952602</v>
      </c>
    </row>
    <row r="134" spans="1:6" ht="15" customHeight="1" x14ac:dyDescent="0.2">
      <c r="A134" s="24" t="s">
        <v>223</v>
      </c>
      <c r="B134" s="48">
        <f>($C$45+2*$C$43+B133)/4</f>
        <v>344.22217013056274</v>
      </c>
      <c r="C134" s="48">
        <f>($C$45+2*$C$43+C133)/4</f>
        <v>344.66646687539242</v>
      </c>
      <c r="D134" s="48">
        <f>($C$45+2*$C$43+D133)/4</f>
        <v>345.11076362022209</v>
      </c>
      <c r="E134" s="48">
        <f>($C$45+2*$C$43+E133)/4</f>
        <v>345.55506036505182</v>
      </c>
      <c r="F134" s="48">
        <f>($C$45+2*$C$43+F133)/4</f>
        <v>345.99935710988154</v>
      </c>
    </row>
    <row r="135" spans="1:6" ht="15" customHeight="1" x14ac:dyDescent="0.2">
      <c r="A135" s="27" t="s">
        <v>18</v>
      </c>
      <c r="B135" s="67">
        <f>B127/B134</f>
        <v>0.26146236386818233</v>
      </c>
      <c r="C135" s="67">
        <f>C127/C134</f>
        <v>0.2714039424657288</v>
      </c>
      <c r="D135" s="67">
        <f>D127/D134</f>
        <v>0.28131992342057632</v>
      </c>
      <c r="E135" s="67">
        <f>E127/E134</f>
        <v>0.29121040546908233</v>
      </c>
      <c r="F135" s="67">
        <f>F127/F134</f>
        <v>0.3010754868404561</v>
      </c>
    </row>
    <row r="136" spans="1:6" ht="15" customHeight="1" x14ac:dyDescent="0.2">
      <c r="A136" s="68" t="s">
        <v>224</v>
      </c>
      <c r="B136" s="69">
        <f>IFERROR($D$71-INDEX(B123:F123,MATCH($B$86,B119:F119,0)),"weight not in grid")</f>
        <v>0</v>
      </c>
      <c r="C136" s="69">
        <f>IFERROR($D$47-INDEX(B135:F135,MATCH($B$86,B119:F119,0)),"weight not in grid")</f>
        <v>0</v>
      </c>
    </row>
    <row r="137" spans="1:6" ht="45" customHeight="1" x14ac:dyDescent="0.2">
      <c r="A137" s="29" t="s">
        <v>225</v>
      </c>
      <c r="B137" s="66">
        <f>IFERROR(INDEX(B123:F123,MATCH($B$86,B119:F119,0))-B123,"")</f>
        <v>9.2619494053397844</v>
      </c>
    </row>
  </sheetData>
  <mergeCells count="10">
    <mergeCell ref="A116:F116"/>
    <mergeCell ref="A1:F1"/>
    <mergeCell ref="A118:F118"/>
    <mergeCell ref="A31:F31"/>
    <mergeCell ref="A89:F89"/>
    <mergeCell ref="A50:J50"/>
    <mergeCell ref="A58:F58"/>
    <mergeCell ref="A18:F18"/>
    <mergeCell ref="A4:F4"/>
    <mergeCell ref="A109:F109"/>
  </mergeCells>
  <pageMargins left="0.75" right="0.75" top="1" bottom="1" header="0.511811023622047" footer="0.511811023622047"/>
  <pageSetup paperSize="9" fitToHeight="0"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116"/>
  <sheetViews>
    <sheetView showGridLines="0" zoomScale="131" zoomScaleNormal="131" workbookViewId="0">
      <pane xSplit="1" ySplit="5" topLeftCell="B6" activePane="bottomRight" state="frozen"/>
      <selection pane="topRight" activeCell="B1" sqref="B1"/>
      <selection pane="bottomLeft" activeCell="A6" sqref="A6"/>
      <selection pane="bottomRight" activeCell="C6" sqref="C6"/>
    </sheetView>
  </sheetViews>
  <sheetFormatPr baseColWidth="10" defaultColWidth="8.6640625" defaultRowHeight="15" x14ac:dyDescent="0.2"/>
  <cols>
    <col min="1" max="1" width="42" customWidth="1"/>
    <col min="2" max="5" width="16" customWidth="1"/>
    <col min="6" max="6" width="46" customWidth="1"/>
  </cols>
  <sheetData>
    <row r="1" spans="1:6" ht="21.75" customHeight="1" x14ac:dyDescent="0.2">
      <c r="A1" s="89" t="s">
        <v>226</v>
      </c>
      <c r="B1" s="87"/>
      <c r="C1" s="87"/>
      <c r="D1" s="87"/>
      <c r="E1" s="87"/>
      <c r="F1" s="87"/>
    </row>
    <row r="2" spans="1:6" ht="15" customHeight="1" x14ac:dyDescent="0.2">
      <c r="A2" s="2" t="s">
        <v>82</v>
      </c>
    </row>
    <row r="3" spans="1:6" ht="15" customHeight="1" x14ac:dyDescent="0.2">
      <c r="A3" s="2" t="s">
        <v>83</v>
      </c>
    </row>
    <row r="4" spans="1:6" ht="18" customHeight="1" x14ac:dyDescent="0.2">
      <c r="A4" s="92" t="s">
        <v>84</v>
      </c>
      <c r="B4" s="87"/>
      <c r="C4" s="87"/>
      <c r="D4" s="87"/>
      <c r="E4" s="87"/>
      <c r="F4" s="87"/>
    </row>
    <row r="5" spans="1:6" ht="15" customHeight="1" x14ac:dyDescent="0.2">
      <c r="A5" s="4" t="s">
        <v>85</v>
      </c>
      <c r="B5" s="4" t="s">
        <v>86</v>
      </c>
      <c r="C5" s="4" t="s">
        <v>38</v>
      </c>
      <c r="D5" s="4" t="s">
        <v>87</v>
      </c>
      <c r="E5" s="4" t="s">
        <v>88</v>
      </c>
      <c r="F5" s="4" t="s">
        <v>89</v>
      </c>
    </row>
    <row r="6" spans="1:6" ht="15" customHeight="1" x14ac:dyDescent="0.2">
      <c r="A6" t="s">
        <v>8</v>
      </c>
      <c r="C6" s="30">
        <v>413.5</v>
      </c>
      <c r="D6" s="31">
        <f>H56</f>
        <v>499.71318101965477</v>
      </c>
      <c r="E6" s="32">
        <f>C6+D6</f>
        <v>913.21318101965471</v>
      </c>
      <c r="F6" s="2" t="s">
        <v>90</v>
      </c>
    </row>
    <row r="7" spans="1:6" ht="15" customHeight="1" x14ac:dyDescent="0.2">
      <c r="A7" t="s">
        <v>91</v>
      </c>
      <c r="B7" s="33">
        <f>D6/C6-1</f>
        <v>0.20849620560980586</v>
      </c>
    </row>
    <row r="8" spans="1:6" ht="15" customHeight="1" x14ac:dyDescent="0.2">
      <c r="A8" t="s">
        <v>92</v>
      </c>
      <c r="B8" s="33">
        <f>D9/D6</f>
        <v>0.16541851053910878</v>
      </c>
    </row>
    <row r="9" spans="1:6" ht="15" customHeight="1" x14ac:dyDescent="0.2">
      <c r="A9" t="s">
        <v>9</v>
      </c>
      <c r="C9" s="30">
        <v>56.8</v>
      </c>
      <c r="D9" s="31">
        <f>D71</f>
        <v>82.661810101031335</v>
      </c>
      <c r="E9" s="32">
        <f>C9+D9</f>
        <v>139.46181010103135</v>
      </c>
      <c r="F9" t="s">
        <v>93</v>
      </c>
    </row>
    <row r="10" spans="1:6" ht="15" customHeight="1" x14ac:dyDescent="0.2">
      <c r="A10" t="s">
        <v>94</v>
      </c>
      <c r="C10" s="9">
        <f>C9/C6</f>
        <v>0.1373639661426844</v>
      </c>
      <c r="D10" s="9">
        <f>D9/D6</f>
        <v>0.16541851053910878</v>
      </c>
      <c r="E10" s="9">
        <f>E9/E6</f>
        <v>0.15271550279783988</v>
      </c>
    </row>
    <row r="11" spans="1:6" ht="15" customHeight="1" x14ac:dyDescent="0.2">
      <c r="A11" t="s">
        <v>95</v>
      </c>
      <c r="B11" s="34">
        <v>4.7</v>
      </c>
      <c r="C11" s="30">
        <v>4.7</v>
      </c>
      <c r="D11" s="35">
        <f>B11</f>
        <v>4.7</v>
      </c>
      <c r="E11" s="32">
        <f>C11+D11</f>
        <v>9.4</v>
      </c>
      <c r="F11" s="36" t="s">
        <v>96</v>
      </c>
    </row>
    <row r="12" spans="1:6" ht="15" customHeight="1" x14ac:dyDescent="0.2">
      <c r="A12" t="s">
        <v>97</v>
      </c>
      <c r="C12" s="35">
        <f>C9+C11</f>
        <v>61.5</v>
      </c>
      <c r="D12" s="35">
        <f>D9+D11</f>
        <v>87.361810101031338</v>
      </c>
      <c r="E12" s="32">
        <f>C12+D12</f>
        <v>148.86181010103132</v>
      </c>
    </row>
    <row r="13" spans="1:6" ht="15" customHeight="1" x14ac:dyDescent="0.2">
      <c r="A13" t="s">
        <v>98</v>
      </c>
      <c r="B13" s="37">
        <v>0.23499999999999999</v>
      </c>
    </row>
    <row r="14" spans="1:6" ht="15" customHeight="1" x14ac:dyDescent="0.2">
      <c r="A14" t="s">
        <v>99</v>
      </c>
      <c r="C14" s="35">
        <f>C12*$B$13</f>
        <v>14.452499999999999</v>
      </c>
      <c r="D14" s="35">
        <f>D12*$B$13</f>
        <v>20.530025373742362</v>
      </c>
      <c r="E14" s="32">
        <f>C14+D14</f>
        <v>34.982525373742362</v>
      </c>
    </row>
    <row r="15" spans="1:6" ht="15" customHeight="1" x14ac:dyDescent="0.2">
      <c r="A15" t="s">
        <v>11</v>
      </c>
      <c r="C15" s="32">
        <f>C12-C14</f>
        <v>47.047499999999999</v>
      </c>
      <c r="D15" s="32">
        <f>D12-D14</f>
        <v>66.831784727288976</v>
      </c>
      <c r="E15" s="32">
        <f>E12-E14</f>
        <v>113.87928472728896</v>
      </c>
    </row>
    <row r="16" spans="1:6" ht="15" customHeight="1" x14ac:dyDescent="0.2">
      <c r="A16" t="s">
        <v>100</v>
      </c>
      <c r="C16" s="35">
        <f>C9*(1-$B$13)</f>
        <v>43.451999999999998</v>
      </c>
      <c r="D16" s="35">
        <f>D9*(1-$B$13)</f>
        <v>63.236284727288975</v>
      </c>
      <c r="E16" s="32">
        <f>E9*(1-$B$13)</f>
        <v>106.68828472728899</v>
      </c>
    </row>
    <row r="18" spans="1:6" ht="18" customHeight="1" x14ac:dyDescent="0.2">
      <c r="A18" s="92" t="s">
        <v>101</v>
      </c>
      <c r="B18" s="87"/>
      <c r="C18" s="87"/>
      <c r="D18" s="87"/>
      <c r="E18" s="87"/>
      <c r="F18" s="87"/>
    </row>
    <row r="19" spans="1:6" ht="15" customHeight="1" x14ac:dyDescent="0.2">
      <c r="A19" s="4" t="s">
        <v>85</v>
      </c>
      <c r="B19" s="4" t="s">
        <v>86</v>
      </c>
      <c r="C19" s="4" t="s">
        <v>102</v>
      </c>
      <c r="D19" s="4" t="s">
        <v>103</v>
      </c>
      <c r="E19" s="4"/>
      <c r="F19" s="4" t="s">
        <v>89</v>
      </c>
    </row>
    <row r="20" spans="1:6" ht="15" customHeight="1" x14ac:dyDescent="0.2">
      <c r="A20" t="s">
        <v>104</v>
      </c>
      <c r="B20" s="38">
        <f>C20</f>
        <v>81.474002418379683</v>
      </c>
      <c r="C20" s="39">
        <f>C22/(C6*2)*365</f>
        <v>81.474002418379683</v>
      </c>
      <c r="D20" s="40">
        <f>B20</f>
        <v>81.474002418379683</v>
      </c>
      <c r="F20" s="36" t="s">
        <v>105</v>
      </c>
    </row>
    <row r="21" spans="1:6" ht="15" customHeight="1" x14ac:dyDescent="0.2">
      <c r="A21" t="s">
        <v>106</v>
      </c>
      <c r="B21" s="31">
        <f>C21*(1+D53)</f>
        <v>90.936000000000007</v>
      </c>
      <c r="C21" s="30">
        <v>84.2</v>
      </c>
      <c r="D21" s="35">
        <f>B21</f>
        <v>90.936000000000007</v>
      </c>
      <c r="F21" s="36" t="s">
        <v>107</v>
      </c>
    </row>
    <row r="22" spans="1:6" ht="15" customHeight="1" x14ac:dyDescent="0.2">
      <c r="A22" t="s">
        <v>108</v>
      </c>
      <c r="C22" s="30">
        <v>184.6</v>
      </c>
      <c r="D22" s="35">
        <f>D20/365*E6</f>
        <v>203.84419977778506</v>
      </c>
      <c r="F22" s="2" t="s">
        <v>109</v>
      </c>
    </row>
    <row r="23" spans="1:6" ht="15" customHeight="1" x14ac:dyDescent="0.2">
      <c r="A23" t="s">
        <v>110</v>
      </c>
      <c r="C23" s="7">
        <f>C21+C22</f>
        <v>268.8</v>
      </c>
      <c r="D23" s="32">
        <f>D21+D22</f>
        <v>294.78019977778507</v>
      </c>
    </row>
    <row r="24" spans="1:6" ht="15" customHeight="1" x14ac:dyDescent="0.2">
      <c r="A24" t="s">
        <v>111</v>
      </c>
      <c r="C24" s="11">
        <f>C23/(C6*2)*365</f>
        <v>118.63603385731561</v>
      </c>
      <c r="D24" s="40">
        <f>D23/E6*365</f>
        <v>117.81999554447498</v>
      </c>
    </row>
    <row r="25" spans="1:6" ht="15" customHeight="1" x14ac:dyDescent="0.2">
      <c r="A25" t="s">
        <v>112</v>
      </c>
      <c r="C25" s="30">
        <v>31.3</v>
      </c>
    </row>
    <row r="26" spans="1:6" ht="15" customHeight="1" x14ac:dyDescent="0.2">
      <c r="A26" t="s">
        <v>113</v>
      </c>
      <c r="B26" s="34">
        <v>9.5</v>
      </c>
    </row>
    <row r="27" spans="1:6" ht="15" customHeight="1" x14ac:dyDescent="0.2">
      <c r="A27" t="s">
        <v>114</v>
      </c>
      <c r="D27" s="32">
        <f>C25+B26</f>
        <v>40.799999999999997</v>
      </c>
    </row>
    <row r="28" spans="1:6" ht="15" customHeight="1" x14ac:dyDescent="0.2">
      <c r="A28" t="s">
        <v>15</v>
      </c>
      <c r="D28" s="41">
        <f>B26/D6</f>
        <v>1.9010905376991336E-2</v>
      </c>
    </row>
    <row r="29" spans="1:6" ht="15" customHeight="1" x14ac:dyDescent="0.2">
      <c r="A29" t="s">
        <v>115</v>
      </c>
      <c r="C29" s="9">
        <f>C25/C22</f>
        <v>0.1695557963163597</v>
      </c>
      <c r="D29" s="41">
        <f>D27/D22</f>
        <v>0.20015286206071575</v>
      </c>
    </row>
    <row r="31" spans="1:6" ht="18" customHeight="1" x14ac:dyDescent="0.2">
      <c r="A31" s="92" t="s">
        <v>116</v>
      </c>
      <c r="B31" s="87"/>
      <c r="C31" s="87"/>
      <c r="D31" s="87"/>
      <c r="E31" s="87"/>
      <c r="F31" s="87"/>
    </row>
    <row r="32" spans="1:6" ht="15" customHeight="1" x14ac:dyDescent="0.2">
      <c r="A32" s="4" t="s">
        <v>85</v>
      </c>
      <c r="B32" s="4" t="s">
        <v>86</v>
      </c>
      <c r="C32" s="4" t="s">
        <v>102</v>
      </c>
      <c r="D32" s="4" t="s">
        <v>103</v>
      </c>
      <c r="E32" s="4"/>
      <c r="F32" s="4" t="s">
        <v>89</v>
      </c>
    </row>
    <row r="33" spans="1:6" ht="15" customHeight="1" x14ac:dyDescent="0.2">
      <c r="A33" t="s">
        <v>117</v>
      </c>
      <c r="C33" s="30">
        <v>178.8</v>
      </c>
    </row>
    <row r="34" spans="1:6" ht="15" customHeight="1" x14ac:dyDescent="0.2">
      <c r="A34" t="s">
        <v>118</v>
      </c>
      <c r="B34" s="42">
        <f>E115</f>
        <v>1.2472406181015459</v>
      </c>
      <c r="D34" s="35">
        <f>D9*B34-(D22-C22)</f>
        <v>83.854967346017858</v>
      </c>
      <c r="F34" s="36" t="s">
        <v>119</v>
      </c>
    </row>
    <row r="35" spans="1:6" ht="15" customHeight="1" x14ac:dyDescent="0.2">
      <c r="A35" t="s">
        <v>120</v>
      </c>
      <c r="B35" s="37">
        <v>0.01</v>
      </c>
      <c r="D35" s="35">
        <f>D6*B35</f>
        <v>4.9971318101965476</v>
      </c>
    </row>
    <row r="36" spans="1:6" ht="15" customHeight="1" x14ac:dyDescent="0.2">
      <c r="A36" t="s">
        <v>121</v>
      </c>
      <c r="D36" s="34">
        <v>15</v>
      </c>
    </row>
    <row r="37" spans="1:6" ht="15" customHeight="1" x14ac:dyDescent="0.2">
      <c r="A37" t="s">
        <v>122</v>
      </c>
      <c r="D37" s="30">
        <v>10.8</v>
      </c>
    </row>
    <row r="38" spans="1:6" ht="15" customHeight="1" x14ac:dyDescent="0.2">
      <c r="A38" t="s">
        <v>123</v>
      </c>
      <c r="D38" s="43">
        <f>E102</f>
        <v>1.7999999999999972</v>
      </c>
    </row>
    <row r="39" spans="1:6" ht="15" customHeight="1" x14ac:dyDescent="0.2">
      <c r="A39" t="s">
        <v>124</v>
      </c>
      <c r="D39" s="34">
        <v>5.3</v>
      </c>
    </row>
    <row r="40" spans="1:6" ht="15" customHeight="1" x14ac:dyDescent="0.2">
      <c r="A40" t="s">
        <v>125</v>
      </c>
      <c r="D40" s="32">
        <f>C33+D34-D35-D36-D37-D38-D39</f>
        <v>224.7578355358213</v>
      </c>
    </row>
    <row r="41" spans="1:6" ht="15" customHeight="1" x14ac:dyDescent="0.2">
      <c r="A41" t="s">
        <v>126</v>
      </c>
      <c r="C41" s="30">
        <v>549.79999999999995</v>
      </c>
      <c r="F41" s="2" t="s">
        <v>127</v>
      </c>
    </row>
    <row r="42" spans="1:6" ht="15" customHeight="1" x14ac:dyDescent="0.2">
      <c r="A42" t="s">
        <v>128</v>
      </c>
      <c r="D42" s="35">
        <f>C41+D15-D37-D38</f>
        <v>604.03178472728905</v>
      </c>
    </row>
    <row r="43" spans="1:6" ht="15" customHeight="1" x14ac:dyDescent="0.2">
      <c r="A43" t="s">
        <v>129</v>
      </c>
      <c r="C43" s="30">
        <v>371</v>
      </c>
    </row>
    <row r="44" spans="1:6" ht="15" customHeight="1" x14ac:dyDescent="0.2">
      <c r="A44" t="s">
        <v>130</v>
      </c>
      <c r="D44" s="32">
        <f>D42-D40</f>
        <v>379.27394919146775</v>
      </c>
    </row>
    <row r="45" spans="1:6" ht="15" customHeight="1" x14ac:dyDescent="0.2">
      <c r="A45" t="s">
        <v>131</v>
      </c>
      <c r="C45" s="30">
        <v>267.7</v>
      </c>
    </row>
    <row r="46" spans="1:6" ht="15" customHeight="1" x14ac:dyDescent="0.2">
      <c r="A46" t="s">
        <v>132</v>
      </c>
      <c r="D46" s="35">
        <f>(C45 + 2*C43 + D44)/4</f>
        <v>347.24348729786698</v>
      </c>
    </row>
    <row r="47" spans="1:6" ht="15" customHeight="1" x14ac:dyDescent="0.2">
      <c r="A47" t="s">
        <v>133</v>
      </c>
      <c r="D47" s="70">
        <f>E16/D46</f>
        <v>0.30724344337600584</v>
      </c>
    </row>
    <row r="50" spans="1:10" ht="15" customHeight="1" x14ac:dyDescent="0.2">
      <c r="A50" s="90" t="s">
        <v>134</v>
      </c>
      <c r="B50" s="87"/>
      <c r="C50" s="87"/>
      <c r="D50" s="87"/>
      <c r="E50" s="87"/>
      <c r="F50" s="87"/>
      <c r="G50" s="87"/>
      <c r="H50" s="87"/>
      <c r="I50" s="87"/>
      <c r="J50" s="87"/>
    </row>
    <row r="51" spans="1:10" ht="54.75" customHeight="1" x14ac:dyDescent="0.2">
      <c r="A51" s="45" t="s">
        <v>135</v>
      </c>
      <c r="B51" s="45" t="s">
        <v>136</v>
      </c>
      <c r="C51" s="45" t="s">
        <v>137</v>
      </c>
      <c r="D51" s="45" t="s">
        <v>138</v>
      </c>
      <c r="E51" s="45" t="s">
        <v>139</v>
      </c>
      <c r="F51" s="45" t="s">
        <v>140</v>
      </c>
      <c r="G51" s="45" t="s">
        <v>141</v>
      </c>
      <c r="H51" s="45" t="s">
        <v>142</v>
      </c>
      <c r="I51" s="45" t="s">
        <v>143</v>
      </c>
      <c r="J51" s="45" t="s">
        <v>144</v>
      </c>
    </row>
    <row r="52" spans="1:10" ht="15" customHeight="1" x14ac:dyDescent="0.2">
      <c r="A52" s="24" t="s">
        <v>145</v>
      </c>
      <c r="B52" s="15">
        <v>310.3</v>
      </c>
      <c r="C52" s="15">
        <v>64.8</v>
      </c>
      <c r="D52" s="46">
        <f>C87</f>
        <v>0.24252394785580003</v>
      </c>
      <c r="E52" s="47">
        <v>0.26100000000000001</v>
      </c>
      <c r="F52" s="48">
        <f>B52*D52</f>
        <v>75.255181019654756</v>
      </c>
      <c r="G52" s="48">
        <f>F52*E52</f>
        <v>19.641602246129892</v>
      </c>
      <c r="H52" s="48">
        <f t="shared" ref="H52:I55" si="0">B52+F52</f>
        <v>385.55518101965475</v>
      </c>
      <c r="I52" s="48">
        <f t="shared" si="0"/>
        <v>84.441602246129889</v>
      </c>
      <c r="J52" s="46">
        <f>I52/H52</f>
        <v>0.21901301396809719</v>
      </c>
    </row>
    <row r="53" spans="1:10" ht="15" customHeight="1" x14ac:dyDescent="0.2">
      <c r="A53" s="24" t="s">
        <v>146</v>
      </c>
      <c r="B53" s="15">
        <v>48.1</v>
      </c>
      <c r="C53" s="15">
        <v>11.7</v>
      </c>
      <c r="D53" s="47">
        <v>0.08</v>
      </c>
      <c r="E53" s="47">
        <v>0.44</v>
      </c>
      <c r="F53" s="48">
        <f>B53*D53</f>
        <v>3.8480000000000003</v>
      </c>
      <c r="G53" s="48">
        <f>F53*E53</f>
        <v>1.6931200000000002</v>
      </c>
      <c r="H53" s="48">
        <f t="shared" si="0"/>
        <v>51.948</v>
      </c>
      <c r="I53" s="48">
        <f t="shared" si="0"/>
        <v>13.39312</v>
      </c>
      <c r="J53" s="46">
        <f>I53/H53</f>
        <v>0.25781781781781782</v>
      </c>
    </row>
    <row r="54" spans="1:10" ht="15" customHeight="1" x14ac:dyDescent="0.2">
      <c r="A54" s="24" t="s">
        <v>147</v>
      </c>
      <c r="B54" s="15">
        <v>40</v>
      </c>
      <c r="C54" s="15">
        <v>2.6</v>
      </c>
      <c r="D54" s="47">
        <v>0.14000000000000001</v>
      </c>
      <c r="E54" s="47">
        <v>0</v>
      </c>
      <c r="F54" s="48">
        <f>B54*D54</f>
        <v>5.6000000000000005</v>
      </c>
      <c r="G54" s="48">
        <f>F54*E54</f>
        <v>0</v>
      </c>
      <c r="H54" s="48">
        <f t="shared" si="0"/>
        <v>45.6</v>
      </c>
      <c r="I54" s="48">
        <f t="shared" si="0"/>
        <v>2.6</v>
      </c>
      <c r="J54" s="46">
        <f>I54/H54</f>
        <v>5.701754385964912E-2</v>
      </c>
    </row>
    <row r="55" spans="1:10" ht="15" customHeight="1" x14ac:dyDescent="0.2">
      <c r="A55" s="24" t="s">
        <v>148</v>
      </c>
      <c r="B55" s="15">
        <v>15.1</v>
      </c>
      <c r="C55" s="15">
        <v>6.3</v>
      </c>
      <c r="D55" s="47">
        <v>0.1</v>
      </c>
      <c r="E55" s="47">
        <v>0.6</v>
      </c>
      <c r="F55" s="48">
        <f>B55*D55</f>
        <v>1.51</v>
      </c>
      <c r="G55" s="48">
        <f>F55*E55</f>
        <v>0.90599999999999992</v>
      </c>
      <c r="H55" s="48">
        <f t="shared" si="0"/>
        <v>16.61</v>
      </c>
      <c r="I55" s="48">
        <f t="shared" si="0"/>
        <v>7.2059999999999995</v>
      </c>
      <c r="J55" s="46">
        <f>I55/H55</f>
        <v>0.43383503913305238</v>
      </c>
    </row>
    <row r="56" spans="1:10" ht="15" customHeight="1" x14ac:dyDescent="0.2">
      <c r="A56" s="22" t="s">
        <v>149</v>
      </c>
      <c r="B56" s="49">
        <f>SUM(B52:B55)</f>
        <v>413.50000000000006</v>
      </c>
      <c r="C56" s="49">
        <f>SUM(C52:C55)</f>
        <v>85.399999999999991</v>
      </c>
      <c r="H56" s="49">
        <f>SUM(H52:H55)</f>
        <v>499.71318101965477</v>
      </c>
      <c r="I56" s="49">
        <f>SUM(I52:I55)</f>
        <v>107.64072224612988</v>
      </c>
      <c r="J56" s="50">
        <f>I56/H56</f>
        <v>0.21540500898233492</v>
      </c>
    </row>
    <row r="58" spans="1:10" ht="15" customHeight="1" x14ac:dyDescent="0.2">
      <c r="A58" s="90" t="s">
        <v>150</v>
      </c>
      <c r="B58" s="87"/>
      <c r="C58" s="87"/>
      <c r="D58" s="87"/>
      <c r="E58" s="87"/>
      <c r="F58" s="87"/>
    </row>
    <row r="59" spans="1:10" ht="15" customHeight="1" x14ac:dyDescent="0.2">
      <c r="A59" s="24" t="s">
        <v>151</v>
      </c>
      <c r="C59" s="15">
        <v>-28.6</v>
      </c>
    </row>
    <row r="60" spans="1:10" ht="15" customHeight="1" x14ac:dyDescent="0.2">
      <c r="A60" s="24" t="s">
        <v>152</v>
      </c>
      <c r="B60" s="47">
        <v>0</v>
      </c>
    </row>
    <row r="61" spans="1:10" ht="15" customHeight="1" x14ac:dyDescent="0.2">
      <c r="A61" s="24" t="s">
        <v>153</v>
      </c>
      <c r="D61" s="48">
        <f>C59*(1+B60)</f>
        <v>-28.6</v>
      </c>
    </row>
    <row r="63" spans="1:10" ht="15" customHeight="1" x14ac:dyDescent="0.2">
      <c r="A63" s="24" t="s">
        <v>154</v>
      </c>
      <c r="D63" s="48">
        <f>I56</f>
        <v>107.64072224612988</v>
      </c>
    </row>
    <row r="64" spans="1:10" ht="15" customHeight="1" x14ac:dyDescent="0.2">
      <c r="A64" s="24" t="s">
        <v>155</v>
      </c>
      <c r="D64" s="48">
        <f>D63+D61</f>
        <v>79.040722246129889</v>
      </c>
    </row>
    <row r="65" spans="1:6" ht="15" customHeight="1" x14ac:dyDescent="0.2">
      <c r="A65" s="24" t="s">
        <v>156</v>
      </c>
      <c r="C65" s="15">
        <v>7.7</v>
      </c>
      <c r="D65" s="48">
        <f>-(B26-C65)</f>
        <v>-1.7999999999999998</v>
      </c>
    </row>
    <row r="66" spans="1:6" ht="15" customHeight="1" x14ac:dyDescent="0.2">
      <c r="A66" s="24" t="s">
        <v>157</v>
      </c>
      <c r="C66" s="51">
        <v>1.3446</v>
      </c>
    </row>
    <row r="67" spans="1:6" ht="15" customHeight="1" x14ac:dyDescent="0.2">
      <c r="A67" s="24" t="s">
        <v>158</v>
      </c>
      <c r="B67" s="52">
        <v>1.27</v>
      </c>
    </row>
    <row r="68" spans="1:6" ht="15" customHeight="1" x14ac:dyDescent="0.2">
      <c r="A68" s="24" t="s">
        <v>159</v>
      </c>
      <c r="D68" s="53">
        <f>(C66-B67)/C66*100</f>
        <v>5.5481183995240224</v>
      </c>
    </row>
    <row r="69" spans="1:6" ht="15" customHeight="1" x14ac:dyDescent="0.2">
      <c r="A69" s="24" t="s">
        <v>160</v>
      </c>
      <c r="B69" s="54">
        <f>IF(D68&gt;=0,C93,C94)</f>
        <v>1.2362030905077264</v>
      </c>
    </row>
    <row r="70" spans="1:6" ht="15" customHeight="1" x14ac:dyDescent="0.2">
      <c r="A70" s="24" t="s">
        <v>161</v>
      </c>
      <c r="D70" s="53">
        <f>D68*B69</f>
        <v>6.8586011119943766</v>
      </c>
    </row>
    <row r="71" spans="1:6" ht="15" customHeight="1" x14ac:dyDescent="0.2">
      <c r="A71" s="22" t="s">
        <v>162</v>
      </c>
      <c r="D71" s="49">
        <f>D64*(1+D70/100)+D65</f>
        <v>82.661810101031335</v>
      </c>
    </row>
    <row r="73" spans="1:6" ht="42.75" customHeight="1" x14ac:dyDescent="0.2">
      <c r="A73" s="29" t="s">
        <v>227</v>
      </c>
    </row>
    <row r="74" spans="1:6" ht="15" customHeight="1" x14ac:dyDescent="0.2">
      <c r="A74" s="27" t="s">
        <v>164</v>
      </c>
    </row>
    <row r="75" spans="1:6" ht="53.25" customHeight="1" x14ac:dyDescent="0.2">
      <c r="A75" s="29" t="s">
        <v>165</v>
      </c>
    </row>
    <row r="76" spans="1:6" ht="15" customHeight="1" x14ac:dyDescent="0.2">
      <c r="A76" t="s">
        <v>166</v>
      </c>
      <c r="C76" s="55">
        <v>222.2</v>
      </c>
      <c r="F76" s="36" t="s">
        <v>167</v>
      </c>
    </row>
    <row r="77" spans="1:6" ht="15" customHeight="1" x14ac:dyDescent="0.2">
      <c r="A77" t="s">
        <v>168</v>
      </c>
      <c r="C77" s="55">
        <v>8.6</v>
      </c>
    </row>
    <row r="78" spans="1:6" ht="15" customHeight="1" x14ac:dyDescent="0.2">
      <c r="A78" t="s">
        <v>169</v>
      </c>
      <c r="C78" s="56">
        <f>DATE(2026,6,30)-DATE(2026,3,18)+1</f>
        <v>105</v>
      </c>
    </row>
    <row r="79" spans="1:6" ht="15" customHeight="1" x14ac:dyDescent="0.2">
      <c r="A79" t="s">
        <v>170</v>
      </c>
      <c r="C79" s="56">
        <f>DATE(2026,12,31)-DATE(2026,7,1)+1</f>
        <v>184</v>
      </c>
    </row>
    <row r="80" spans="1:6" ht="15" customHeight="1" x14ac:dyDescent="0.2">
      <c r="A80" t="s">
        <v>171</v>
      </c>
      <c r="C80" s="56">
        <f>DATE(2026,12,31)-DATE(2026,9,9)+1</f>
        <v>114</v>
      </c>
    </row>
    <row r="81" spans="1:6" ht="15" customHeight="1" x14ac:dyDescent="0.2">
      <c r="A81" t="s">
        <v>172</v>
      </c>
      <c r="C81" s="57">
        <f>(B52-C77)/C76-1</f>
        <v>0.35778577857785776</v>
      </c>
    </row>
    <row r="82" spans="1:6" ht="15" customHeight="1" x14ac:dyDescent="0.2">
      <c r="A82" t="s">
        <v>173</v>
      </c>
      <c r="C82" s="58">
        <f>C77/C78*C79</f>
        <v>15.070476190476189</v>
      </c>
    </row>
    <row r="83" spans="1:6" ht="15" customHeight="1" x14ac:dyDescent="0.2">
      <c r="A83" t="s">
        <v>174</v>
      </c>
      <c r="C83" s="57">
        <f>(C82-C77)/B52</f>
        <v>2.085232417169252E-2</v>
      </c>
    </row>
    <row r="84" spans="1:6" ht="15" customHeight="1" x14ac:dyDescent="0.2">
      <c r="A84" t="s">
        <v>175</v>
      </c>
      <c r="C84" s="57">
        <f>C80/C79</f>
        <v>0.61956521739130432</v>
      </c>
    </row>
    <row r="85" spans="1:6" ht="15" customHeight="1" x14ac:dyDescent="0.2">
      <c r="A85" t="s">
        <v>176</v>
      </c>
      <c r="C85" s="57">
        <f>0+C83</f>
        <v>2.085232417169252E-2</v>
      </c>
    </row>
    <row r="86" spans="1:6" ht="15" customHeight="1" x14ac:dyDescent="0.2">
      <c r="A86" t="s">
        <v>228</v>
      </c>
      <c r="B86" s="59">
        <v>1</v>
      </c>
      <c r="C86" s="57">
        <f>C81*C84*B86</f>
        <v>0.2216716236841075</v>
      </c>
    </row>
    <row r="87" spans="1:6" ht="15" customHeight="1" x14ac:dyDescent="0.2">
      <c r="A87" s="27" t="s">
        <v>178</v>
      </c>
      <c r="C87" s="60">
        <f>C85+C86</f>
        <v>0.24252394785580003</v>
      </c>
    </row>
    <row r="89" spans="1:6" ht="15" customHeight="1" x14ac:dyDescent="0.2">
      <c r="A89" s="90" t="s">
        <v>179</v>
      </c>
      <c r="B89" s="87"/>
      <c r="C89" s="87"/>
      <c r="D89" s="87"/>
      <c r="E89" s="87"/>
      <c r="F89" s="87"/>
    </row>
    <row r="90" spans="1:6" ht="15" customHeight="1" x14ac:dyDescent="0.2">
      <c r="A90" s="24" t="s">
        <v>180</v>
      </c>
      <c r="C90" s="61">
        <v>5.6</v>
      </c>
    </row>
    <row r="91" spans="1:6" ht="15" customHeight="1" x14ac:dyDescent="0.2">
      <c r="A91" s="24" t="s">
        <v>181</v>
      </c>
      <c r="C91" s="61">
        <v>5.0999999999999996</v>
      </c>
    </row>
    <row r="92" spans="1:6" ht="15" customHeight="1" x14ac:dyDescent="0.2">
      <c r="A92" s="24" t="s">
        <v>182</v>
      </c>
      <c r="C92" s="61">
        <v>90.6</v>
      </c>
    </row>
    <row r="93" spans="1:6" ht="15" customHeight="1" x14ac:dyDescent="0.2">
      <c r="A93" s="24" t="s">
        <v>183</v>
      </c>
      <c r="C93" s="54">
        <f>C90/C92/5*100</f>
        <v>1.2362030905077264</v>
      </c>
    </row>
    <row r="94" spans="1:6" ht="15" customHeight="1" x14ac:dyDescent="0.2">
      <c r="A94" s="24" t="s">
        <v>184</v>
      </c>
      <c r="C94" s="54">
        <f>C91/C92/5*100</f>
        <v>1.1258278145695366</v>
      </c>
    </row>
    <row r="96" spans="1:6" ht="15" customHeight="1" x14ac:dyDescent="0.2">
      <c r="A96" s="27" t="s">
        <v>185</v>
      </c>
    </row>
    <row r="97" spans="1:6" ht="30" customHeight="1" x14ac:dyDescent="0.2">
      <c r="A97" s="62" t="s">
        <v>186</v>
      </c>
      <c r="C97" s="62" t="s">
        <v>187</v>
      </c>
      <c r="D97" s="62" t="s">
        <v>188</v>
      </c>
      <c r="E97" s="62" t="s">
        <v>189</v>
      </c>
    </row>
    <row r="98" spans="1:6" ht="15" customHeight="1" x14ac:dyDescent="0.2">
      <c r="A98" s="24" t="s">
        <v>190</v>
      </c>
      <c r="C98" s="61">
        <v>5.5</v>
      </c>
      <c r="D98" s="61">
        <v>2.1</v>
      </c>
      <c r="E98" s="58">
        <f t="shared" ref="E98:E104" si="1">C98-D98</f>
        <v>3.4</v>
      </c>
    </row>
    <row r="99" spans="1:6" ht="15" customHeight="1" x14ac:dyDescent="0.2">
      <c r="A99" s="24" t="s">
        <v>191</v>
      </c>
      <c r="C99" s="61">
        <v>1.9</v>
      </c>
      <c r="D99" s="61">
        <v>0.5</v>
      </c>
      <c r="E99" s="58">
        <f t="shared" si="1"/>
        <v>1.4</v>
      </c>
    </row>
    <row r="100" spans="1:6" ht="15" customHeight="1" x14ac:dyDescent="0.2">
      <c r="A100" s="24" t="s">
        <v>192</v>
      </c>
      <c r="C100" s="61">
        <v>2.2999999999999998</v>
      </c>
      <c r="D100" s="61">
        <v>2.2999999999999998</v>
      </c>
      <c r="E100" s="58">
        <f t="shared" si="1"/>
        <v>0</v>
      </c>
    </row>
    <row r="101" spans="1:6" ht="15" customHeight="1" x14ac:dyDescent="0.2">
      <c r="A101" s="24" t="s">
        <v>193</v>
      </c>
      <c r="C101" s="61">
        <v>33</v>
      </c>
      <c r="D101" s="61">
        <v>23.1</v>
      </c>
      <c r="E101" s="58">
        <f t="shared" si="1"/>
        <v>9.8999999999999986</v>
      </c>
    </row>
    <row r="102" spans="1:6" ht="15" customHeight="1" x14ac:dyDescent="0.2">
      <c r="A102" s="24" t="s">
        <v>194</v>
      </c>
      <c r="C102" s="61">
        <v>33.4</v>
      </c>
      <c r="D102" s="61">
        <v>31.6</v>
      </c>
      <c r="E102" s="58">
        <f t="shared" si="1"/>
        <v>1.7999999999999972</v>
      </c>
    </row>
    <row r="103" spans="1:6" ht="15" customHeight="1" x14ac:dyDescent="0.2">
      <c r="A103" s="24" t="s">
        <v>195</v>
      </c>
      <c r="C103" s="61">
        <v>11.2</v>
      </c>
      <c r="D103" s="61">
        <v>5.6</v>
      </c>
      <c r="E103" s="58">
        <f t="shared" si="1"/>
        <v>5.6</v>
      </c>
    </row>
    <row r="104" spans="1:6" ht="15" customHeight="1" x14ac:dyDescent="0.2">
      <c r="A104" s="24" t="s">
        <v>196</v>
      </c>
      <c r="C104" s="61">
        <v>78</v>
      </c>
      <c r="D104" s="61">
        <v>32.700000000000003</v>
      </c>
      <c r="E104" s="58">
        <f t="shared" si="1"/>
        <v>45.3</v>
      </c>
    </row>
    <row r="105" spans="1:6" ht="15" customHeight="1" x14ac:dyDescent="0.2">
      <c r="A105" s="24" t="s">
        <v>197</v>
      </c>
      <c r="C105" s="61">
        <v>227.1</v>
      </c>
    </row>
    <row r="106" spans="1:6" ht="15" customHeight="1" x14ac:dyDescent="0.2">
      <c r="A106" s="24" t="s">
        <v>198</v>
      </c>
      <c r="C106" s="61">
        <v>260.10000000000002</v>
      </c>
    </row>
    <row r="107" spans="1:6" ht="15" customHeight="1" x14ac:dyDescent="0.2">
      <c r="A107" s="24" t="s">
        <v>199</v>
      </c>
      <c r="E107" s="58">
        <f>(C106-C105)+SUM(E98:E103)</f>
        <v>55.100000000000023</v>
      </c>
    </row>
    <row r="108" spans="1:6" ht="15" customHeight="1" x14ac:dyDescent="0.2">
      <c r="A108" s="24" t="s">
        <v>200</v>
      </c>
      <c r="E108" s="63">
        <f>E107/E104</f>
        <v>1.2163355408388528</v>
      </c>
    </row>
    <row r="109" spans="1:6" ht="105" customHeight="1" x14ac:dyDescent="0.2">
      <c r="A109" s="91" t="s">
        <v>201</v>
      </c>
      <c r="B109" s="87"/>
      <c r="C109" s="87"/>
      <c r="D109" s="87"/>
      <c r="E109" s="87"/>
      <c r="F109" s="87"/>
    </row>
    <row r="111" spans="1:6" ht="15" customHeight="1" x14ac:dyDescent="0.2">
      <c r="A111" s="27" t="s">
        <v>202</v>
      </c>
    </row>
    <row r="112" spans="1:6" ht="15" customHeight="1" x14ac:dyDescent="0.2">
      <c r="A112" s="24" t="s">
        <v>203</v>
      </c>
      <c r="C112" s="61">
        <v>67.5</v>
      </c>
      <c r="D112" s="61">
        <v>22.2</v>
      </c>
      <c r="E112" s="58">
        <f>C112-D112</f>
        <v>45.3</v>
      </c>
    </row>
    <row r="113" spans="1:6" ht="15" customHeight="1" x14ac:dyDescent="0.2">
      <c r="A113" s="24" t="s">
        <v>204</v>
      </c>
      <c r="C113" s="61">
        <v>60.9</v>
      </c>
      <c r="D113" s="61">
        <v>17</v>
      </c>
      <c r="E113" s="58">
        <f>C113-D113</f>
        <v>43.9</v>
      </c>
    </row>
    <row r="114" spans="1:6" ht="15" customHeight="1" x14ac:dyDescent="0.2">
      <c r="A114" s="24" t="s">
        <v>205</v>
      </c>
      <c r="E114" s="58">
        <f>E112-E113</f>
        <v>1.3999999999999986</v>
      </c>
    </row>
    <row r="115" spans="1:6" ht="15" customHeight="1" x14ac:dyDescent="0.2">
      <c r="A115" s="27" t="s">
        <v>206</v>
      </c>
      <c r="E115" s="64">
        <f>(E107+E114)/E104</f>
        <v>1.2472406181015459</v>
      </c>
    </row>
    <row r="116" spans="1:6" ht="79.5" customHeight="1" x14ac:dyDescent="0.2">
      <c r="A116" s="91" t="s">
        <v>207</v>
      </c>
      <c r="B116" s="87"/>
      <c r="C116" s="87"/>
      <c r="D116" s="87"/>
      <c r="E116" s="87"/>
      <c r="F116" s="87"/>
    </row>
  </sheetData>
  <mergeCells count="9">
    <mergeCell ref="A116:F116"/>
    <mergeCell ref="A1:F1"/>
    <mergeCell ref="A31:F31"/>
    <mergeCell ref="A89:F89"/>
    <mergeCell ref="A50:J50"/>
    <mergeCell ref="A58:F58"/>
    <mergeCell ref="A18:F18"/>
    <mergeCell ref="A4:F4"/>
    <mergeCell ref="A109:F109"/>
  </mergeCells>
  <pageMargins left="0.75" right="0.75" top="1" bottom="1" header="0.511811023622047" footer="0.511811023622047"/>
  <pageSetup paperSize="9" fitToHeight="0" orientation="landscape"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116"/>
  <sheetViews>
    <sheetView showGridLines="0" zoomScaleNormal="100" workbookViewId="0">
      <pane xSplit="1" ySplit="5" topLeftCell="B6" activePane="bottomRight" state="frozen"/>
      <selection pane="topRight" activeCell="B1" sqref="B1"/>
      <selection pane="bottomLeft" activeCell="A6" sqref="A6"/>
      <selection pane="bottomRight" sqref="A1:F1"/>
    </sheetView>
  </sheetViews>
  <sheetFormatPr baseColWidth="10" defaultColWidth="8.6640625" defaultRowHeight="15" x14ac:dyDescent="0.2"/>
  <cols>
    <col min="1" max="1" width="42" customWidth="1"/>
    <col min="2" max="5" width="16" customWidth="1"/>
    <col min="6" max="6" width="46" customWidth="1"/>
  </cols>
  <sheetData>
    <row r="1" spans="1:6" ht="21.75" customHeight="1" x14ac:dyDescent="0.2">
      <c r="A1" s="89" t="s">
        <v>229</v>
      </c>
      <c r="B1" s="87"/>
      <c r="C1" s="87"/>
      <c r="D1" s="87"/>
      <c r="E1" s="87"/>
      <c r="F1" s="87"/>
    </row>
    <row r="2" spans="1:6" ht="15" customHeight="1" x14ac:dyDescent="0.2">
      <c r="A2" s="2" t="s">
        <v>82</v>
      </c>
    </row>
    <row r="3" spans="1:6" ht="15" customHeight="1" x14ac:dyDescent="0.2">
      <c r="A3" s="2" t="s">
        <v>83</v>
      </c>
    </row>
    <row r="4" spans="1:6" ht="18" customHeight="1" x14ac:dyDescent="0.2">
      <c r="A4" s="92" t="s">
        <v>84</v>
      </c>
      <c r="B4" s="87"/>
      <c r="C4" s="87"/>
      <c r="D4" s="87"/>
      <c r="E4" s="87"/>
      <c r="F4" s="87"/>
    </row>
    <row r="5" spans="1:6" ht="15" customHeight="1" x14ac:dyDescent="0.2">
      <c r="A5" s="4" t="s">
        <v>85</v>
      </c>
      <c r="B5" s="4" t="s">
        <v>86</v>
      </c>
      <c r="C5" s="4" t="s">
        <v>38</v>
      </c>
      <c r="D5" s="4" t="s">
        <v>87</v>
      </c>
      <c r="E5" s="4" t="s">
        <v>88</v>
      </c>
      <c r="F5" s="4" t="s">
        <v>89</v>
      </c>
    </row>
    <row r="6" spans="1:6" ht="15" customHeight="1" x14ac:dyDescent="0.2">
      <c r="A6" t="s">
        <v>8</v>
      </c>
      <c r="C6" s="30">
        <v>413.5</v>
      </c>
      <c r="D6" s="31">
        <f>H56</f>
        <v>388.48599999999999</v>
      </c>
      <c r="E6" s="32">
        <f>C6+D6</f>
        <v>801.98599999999999</v>
      </c>
      <c r="F6" s="2" t="s">
        <v>90</v>
      </c>
    </row>
    <row r="7" spans="1:6" ht="15" customHeight="1" x14ac:dyDescent="0.2">
      <c r="A7" t="s">
        <v>91</v>
      </c>
      <c r="B7" s="33">
        <f>D6/C6-1</f>
        <v>-6.0493349455864598E-2</v>
      </c>
    </row>
    <row r="8" spans="1:6" ht="15" customHeight="1" x14ac:dyDescent="0.2">
      <c r="A8" t="s">
        <v>92</v>
      </c>
      <c r="B8" s="33">
        <f>D9/D6</f>
        <v>9.6340415316138295E-2</v>
      </c>
    </row>
    <row r="9" spans="1:6" ht="15" customHeight="1" x14ac:dyDescent="0.2">
      <c r="A9" t="s">
        <v>9</v>
      </c>
      <c r="C9" s="30">
        <v>56.8</v>
      </c>
      <c r="D9" s="31">
        <f>D71</f>
        <v>37.426902584505299</v>
      </c>
      <c r="E9" s="32">
        <f>C9+D9</f>
        <v>94.226902584505297</v>
      </c>
      <c r="F9" t="s">
        <v>93</v>
      </c>
    </row>
    <row r="10" spans="1:6" ht="15" customHeight="1" x14ac:dyDescent="0.2">
      <c r="A10" t="s">
        <v>94</v>
      </c>
      <c r="C10" s="9">
        <f>C9/C6</f>
        <v>0.1373639661426844</v>
      </c>
      <c r="D10" s="9">
        <f>D9/D6</f>
        <v>9.6340415316138295E-2</v>
      </c>
      <c r="E10" s="9">
        <f>E9/E6</f>
        <v>0.11749195445370031</v>
      </c>
    </row>
    <row r="11" spans="1:6" ht="15" customHeight="1" x14ac:dyDescent="0.2">
      <c r="A11" t="s">
        <v>95</v>
      </c>
      <c r="B11" s="34">
        <v>4.7</v>
      </c>
      <c r="C11" s="30">
        <v>4.7</v>
      </c>
      <c r="D11" s="35">
        <f>B11</f>
        <v>4.7</v>
      </c>
      <c r="E11" s="32">
        <f>C11+D11</f>
        <v>9.4</v>
      </c>
      <c r="F11" s="36" t="s">
        <v>96</v>
      </c>
    </row>
    <row r="12" spans="1:6" ht="15" customHeight="1" x14ac:dyDescent="0.2">
      <c r="A12" t="s">
        <v>97</v>
      </c>
      <c r="C12" s="35">
        <f>C9+C11</f>
        <v>61.5</v>
      </c>
      <c r="D12" s="35">
        <f>D9+D11</f>
        <v>42.126902584505302</v>
      </c>
      <c r="E12" s="32">
        <f>C12+D12</f>
        <v>103.6269025845053</v>
      </c>
    </row>
    <row r="13" spans="1:6" ht="15" customHeight="1" x14ac:dyDescent="0.2">
      <c r="A13" t="s">
        <v>98</v>
      </c>
      <c r="B13" s="37">
        <v>0.23499999999999999</v>
      </c>
    </row>
    <row r="14" spans="1:6" ht="15" customHeight="1" x14ac:dyDescent="0.2">
      <c r="A14" t="s">
        <v>99</v>
      </c>
      <c r="C14" s="35">
        <f>C12*$B$13</f>
        <v>14.452499999999999</v>
      </c>
      <c r="D14" s="35">
        <f>D12*$B$13</f>
        <v>9.8998221073587462</v>
      </c>
      <c r="E14" s="32">
        <f>C14+D14</f>
        <v>24.352322107358745</v>
      </c>
    </row>
    <row r="15" spans="1:6" ht="15" customHeight="1" x14ac:dyDescent="0.2">
      <c r="A15" t="s">
        <v>11</v>
      </c>
      <c r="C15" s="32">
        <f>C12-C14</f>
        <v>47.047499999999999</v>
      </c>
      <c r="D15" s="32">
        <f>D12-D14</f>
        <v>32.227080477146558</v>
      </c>
      <c r="E15" s="32">
        <f>E12-E14</f>
        <v>79.274580477146557</v>
      </c>
    </row>
    <row r="16" spans="1:6" ht="15" customHeight="1" x14ac:dyDescent="0.2">
      <c r="A16" t="s">
        <v>100</v>
      </c>
      <c r="C16" s="35">
        <f>C9*(1-$B$13)</f>
        <v>43.451999999999998</v>
      </c>
      <c r="D16" s="35">
        <f>D9*(1-$B$13)</f>
        <v>28.631580477146553</v>
      </c>
      <c r="E16" s="32">
        <f>E9*(1-$B$13)</f>
        <v>72.083580477146555</v>
      </c>
    </row>
    <row r="18" spans="1:6" ht="18" customHeight="1" x14ac:dyDescent="0.2">
      <c r="A18" s="92" t="s">
        <v>101</v>
      </c>
      <c r="B18" s="87"/>
      <c r="C18" s="87"/>
      <c r="D18" s="87"/>
      <c r="E18" s="87"/>
      <c r="F18" s="87"/>
    </row>
    <row r="19" spans="1:6" ht="15" customHeight="1" x14ac:dyDescent="0.2">
      <c r="A19" s="4" t="s">
        <v>85</v>
      </c>
      <c r="B19" s="4" t="s">
        <v>86</v>
      </c>
      <c r="C19" s="4" t="s">
        <v>102</v>
      </c>
      <c r="D19" s="4" t="s">
        <v>103</v>
      </c>
      <c r="E19" s="4"/>
      <c r="F19" s="4" t="s">
        <v>89</v>
      </c>
    </row>
    <row r="20" spans="1:6" ht="15" customHeight="1" x14ac:dyDescent="0.2">
      <c r="A20" t="s">
        <v>104</v>
      </c>
      <c r="B20" s="38">
        <f>C20</f>
        <v>81.474002418379683</v>
      </c>
      <c r="C20" s="39">
        <f>C22/(C6*2)*365</f>
        <v>81.474002418379683</v>
      </c>
      <c r="D20" s="40">
        <f>B20</f>
        <v>81.474002418379683</v>
      </c>
      <c r="F20" s="36" t="s">
        <v>105</v>
      </c>
    </row>
    <row r="21" spans="1:6" ht="15" customHeight="1" x14ac:dyDescent="0.2">
      <c r="A21" t="s">
        <v>106</v>
      </c>
      <c r="B21" s="31">
        <f>C21*(1+D53)</f>
        <v>81.674000000000007</v>
      </c>
      <c r="C21" s="30">
        <v>84.2</v>
      </c>
      <c r="D21" s="35">
        <f>B21</f>
        <v>81.674000000000007</v>
      </c>
      <c r="F21" s="36" t="s">
        <v>107</v>
      </c>
    </row>
    <row r="22" spans="1:6" ht="15" customHeight="1" x14ac:dyDescent="0.2">
      <c r="A22" t="s">
        <v>108</v>
      </c>
      <c r="C22" s="30">
        <v>184.6</v>
      </c>
      <c r="D22" s="35">
        <f>D20/365*E6</f>
        <v>179.01646384522368</v>
      </c>
      <c r="F22" s="2" t="s">
        <v>109</v>
      </c>
    </row>
    <row r="23" spans="1:6" ht="15" customHeight="1" x14ac:dyDescent="0.2">
      <c r="A23" t="s">
        <v>110</v>
      </c>
      <c r="C23" s="7">
        <f>C21+C22</f>
        <v>268.8</v>
      </c>
      <c r="D23" s="32">
        <f>D21+D22</f>
        <v>260.69046384522369</v>
      </c>
    </row>
    <row r="24" spans="1:6" ht="15" customHeight="1" x14ac:dyDescent="0.2">
      <c r="A24" t="s">
        <v>111</v>
      </c>
      <c r="C24" s="11">
        <f>C23/(C6*2)*365</f>
        <v>118.63603385731561</v>
      </c>
      <c r="D24" s="40">
        <f>D23/E6*365</f>
        <v>118.64548670862915</v>
      </c>
    </row>
    <row r="25" spans="1:6" ht="15" customHeight="1" x14ac:dyDescent="0.2">
      <c r="A25" t="s">
        <v>112</v>
      </c>
      <c r="C25" s="30">
        <v>31.3</v>
      </c>
    </row>
    <row r="26" spans="1:6" ht="15" customHeight="1" x14ac:dyDescent="0.2">
      <c r="A26" t="s">
        <v>113</v>
      </c>
      <c r="B26" s="34">
        <v>11.5</v>
      </c>
    </row>
    <row r="27" spans="1:6" ht="15" customHeight="1" x14ac:dyDescent="0.2">
      <c r="A27" t="s">
        <v>114</v>
      </c>
      <c r="D27" s="32">
        <f>C25+B26</f>
        <v>42.8</v>
      </c>
    </row>
    <row r="28" spans="1:6" ht="15" customHeight="1" x14ac:dyDescent="0.2">
      <c r="A28" t="s">
        <v>15</v>
      </c>
      <c r="D28" s="41">
        <f>B26/D6</f>
        <v>2.960209634324017E-2</v>
      </c>
    </row>
    <row r="29" spans="1:6" ht="15" customHeight="1" x14ac:dyDescent="0.2">
      <c r="A29" t="s">
        <v>115</v>
      </c>
      <c r="C29" s="9">
        <f>C25/C22</f>
        <v>0.1695557963163597</v>
      </c>
      <c r="D29" s="41">
        <f>D27/D22</f>
        <v>0.23908415505852335</v>
      </c>
    </row>
    <row r="31" spans="1:6" ht="18" customHeight="1" x14ac:dyDescent="0.2">
      <c r="A31" s="92" t="s">
        <v>116</v>
      </c>
      <c r="B31" s="87"/>
      <c r="C31" s="87"/>
      <c r="D31" s="87"/>
      <c r="E31" s="87"/>
      <c r="F31" s="87"/>
    </row>
    <row r="32" spans="1:6" ht="15" customHeight="1" x14ac:dyDescent="0.2">
      <c r="A32" s="4" t="s">
        <v>85</v>
      </c>
      <c r="B32" s="4" t="s">
        <v>86</v>
      </c>
      <c r="C32" s="4" t="s">
        <v>102</v>
      </c>
      <c r="D32" s="4" t="s">
        <v>103</v>
      </c>
      <c r="E32" s="4"/>
      <c r="F32" s="4" t="s">
        <v>89</v>
      </c>
    </row>
    <row r="33" spans="1:6" ht="15" customHeight="1" x14ac:dyDescent="0.2">
      <c r="A33" t="s">
        <v>117</v>
      </c>
      <c r="C33" s="30">
        <v>178.8</v>
      </c>
    </row>
    <row r="34" spans="1:6" ht="15" customHeight="1" x14ac:dyDescent="0.2">
      <c r="A34" t="s">
        <v>118</v>
      </c>
      <c r="B34" s="42">
        <f>E115</f>
        <v>1.2472406181015459</v>
      </c>
      <c r="D34" s="35">
        <f>D9*B34-(D22-C22)</f>
        <v>52.263889267901043</v>
      </c>
      <c r="F34" s="36" t="s">
        <v>119</v>
      </c>
    </row>
    <row r="35" spans="1:6" ht="15" customHeight="1" x14ac:dyDescent="0.2">
      <c r="A35" t="s">
        <v>120</v>
      </c>
      <c r="B35" s="37">
        <v>0.01</v>
      </c>
      <c r="D35" s="35">
        <f>D6*B35</f>
        <v>3.8848600000000002</v>
      </c>
    </row>
    <row r="36" spans="1:6" ht="15" customHeight="1" x14ac:dyDescent="0.2">
      <c r="A36" t="s">
        <v>121</v>
      </c>
      <c r="D36" s="34">
        <v>5</v>
      </c>
    </row>
    <row r="37" spans="1:6" ht="15" customHeight="1" x14ac:dyDescent="0.2">
      <c r="A37" t="s">
        <v>122</v>
      </c>
      <c r="D37" s="30">
        <v>10.8</v>
      </c>
    </row>
    <row r="38" spans="1:6" ht="15" customHeight="1" x14ac:dyDescent="0.2">
      <c r="A38" t="s">
        <v>123</v>
      </c>
      <c r="D38" s="43">
        <f>E102</f>
        <v>1.7999999999999972</v>
      </c>
    </row>
    <row r="39" spans="1:6" ht="15" customHeight="1" x14ac:dyDescent="0.2">
      <c r="A39" t="s">
        <v>124</v>
      </c>
      <c r="D39" s="34">
        <v>5.3</v>
      </c>
    </row>
    <row r="40" spans="1:6" ht="15" customHeight="1" x14ac:dyDescent="0.2">
      <c r="A40" t="s">
        <v>125</v>
      </c>
      <c r="D40" s="32">
        <f>C33+D34-D35-D36-D37-D38-D39</f>
        <v>204.27902926790102</v>
      </c>
    </row>
    <row r="41" spans="1:6" ht="15" customHeight="1" x14ac:dyDescent="0.2">
      <c r="A41" t="s">
        <v>126</v>
      </c>
      <c r="C41" s="30">
        <v>549.79999999999995</v>
      </c>
      <c r="F41" s="2" t="s">
        <v>127</v>
      </c>
    </row>
    <row r="42" spans="1:6" ht="15" customHeight="1" x14ac:dyDescent="0.2">
      <c r="A42" t="s">
        <v>128</v>
      </c>
      <c r="D42" s="35">
        <f>C41+D15-D37-D38</f>
        <v>569.42708047714655</v>
      </c>
    </row>
    <row r="43" spans="1:6" ht="15" customHeight="1" x14ac:dyDescent="0.2">
      <c r="A43" t="s">
        <v>129</v>
      </c>
      <c r="C43" s="30">
        <v>371</v>
      </c>
    </row>
    <row r="44" spans="1:6" ht="15" customHeight="1" x14ac:dyDescent="0.2">
      <c r="A44" t="s">
        <v>130</v>
      </c>
      <c r="D44" s="32">
        <f>D42-D40</f>
        <v>365.14805120924552</v>
      </c>
    </row>
    <row r="45" spans="1:6" ht="15" customHeight="1" x14ac:dyDescent="0.2">
      <c r="A45" t="s">
        <v>131</v>
      </c>
      <c r="C45" s="30">
        <v>267.7</v>
      </c>
    </row>
    <row r="46" spans="1:6" ht="15" customHeight="1" x14ac:dyDescent="0.2">
      <c r="A46" t="s">
        <v>132</v>
      </c>
      <c r="D46" s="35">
        <f>(C45 + 2*C43 + D44)/4</f>
        <v>343.71201280231139</v>
      </c>
    </row>
    <row r="47" spans="1:6" ht="15" customHeight="1" x14ac:dyDescent="0.2">
      <c r="A47" t="s">
        <v>133</v>
      </c>
      <c r="D47" s="71">
        <f>E16/D46</f>
        <v>0.2097208645384355</v>
      </c>
    </row>
    <row r="50" spans="1:10" ht="15" customHeight="1" x14ac:dyDescent="0.2">
      <c r="A50" s="90" t="s">
        <v>134</v>
      </c>
      <c r="B50" s="87"/>
      <c r="C50" s="87"/>
      <c r="D50" s="87"/>
      <c r="E50" s="87"/>
      <c r="F50" s="87"/>
      <c r="G50" s="87"/>
      <c r="H50" s="87"/>
      <c r="I50" s="87"/>
      <c r="J50" s="87"/>
    </row>
    <row r="51" spans="1:10" ht="54.75" customHeight="1" x14ac:dyDescent="0.2">
      <c r="A51" s="45" t="s">
        <v>135</v>
      </c>
      <c r="B51" s="45" t="s">
        <v>136</v>
      </c>
      <c r="C51" s="45" t="s">
        <v>137</v>
      </c>
      <c r="D51" s="45" t="s">
        <v>138</v>
      </c>
      <c r="E51" s="45" t="s">
        <v>139</v>
      </c>
      <c r="F51" s="45" t="s">
        <v>140</v>
      </c>
      <c r="G51" s="45" t="s">
        <v>141</v>
      </c>
      <c r="H51" s="45" t="s">
        <v>142</v>
      </c>
      <c r="I51" s="45" t="s">
        <v>143</v>
      </c>
      <c r="J51" s="45" t="s">
        <v>144</v>
      </c>
    </row>
    <row r="52" spans="1:10" ht="15" customHeight="1" x14ac:dyDescent="0.2">
      <c r="A52" s="24" t="s">
        <v>145</v>
      </c>
      <c r="B52" s="15">
        <v>310.3</v>
      </c>
      <c r="C52" s="15">
        <v>64.8</v>
      </c>
      <c r="D52" s="47">
        <v>-0.08</v>
      </c>
      <c r="E52" s="47">
        <v>0.53800000000000003</v>
      </c>
      <c r="F52" s="48">
        <f>B52*D52</f>
        <v>-24.824000000000002</v>
      </c>
      <c r="G52" s="48">
        <f>F52*E52</f>
        <v>-13.355312000000001</v>
      </c>
      <c r="H52" s="48">
        <f t="shared" ref="H52:I55" si="0">B52+F52</f>
        <v>285.476</v>
      </c>
      <c r="I52" s="48">
        <f t="shared" si="0"/>
        <v>51.444687999999999</v>
      </c>
      <c r="J52" s="46">
        <f>I52/H52</f>
        <v>0.1802067003881237</v>
      </c>
    </row>
    <row r="53" spans="1:10" ht="15" customHeight="1" x14ac:dyDescent="0.2">
      <c r="A53" s="24" t="s">
        <v>146</v>
      </c>
      <c r="B53" s="15">
        <v>48.1</v>
      </c>
      <c r="C53" s="15">
        <v>11.7</v>
      </c>
      <c r="D53" s="47">
        <v>-0.03</v>
      </c>
      <c r="E53" s="47">
        <v>0.93300000000000005</v>
      </c>
      <c r="F53" s="48">
        <f>B53*D53</f>
        <v>-1.4430000000000001</v>
      </c>
      <c r="G53" s="48">
        <f>F53*E53</f>
        <v>-1.346319</v>
      </c>
      <c r="H53" s="48">
        <f t="shared" si="0"/>
        <v>46.657000000000004</v>
      </c>
      <c r="I53" s="48">
        <f t="shared" si="0"/>
        <v>10.353681</v>
      </c>
      <c r="J53" s="46">
        <f>I53/H53</f>
        <v>0.22191056004458065</v>
      </c>
    </row>
    <row r="54" spans="1:10" ht="15" customHeight="1" x14ac:dyDescent="0.2">
      <c r="A54" s="24" t="s">
        <v>147</v>
      </c>
      <c r="B54" s="15">
        <v>40</v>
      </c>
      <c r="C54" s="15">
        <v>2.6</v>
      </c>
      <c r="D54" s="47">
        <v>0.02</v>
      </c>
      <c r="E54" s="47">
        <v>-0.2</v>
      </c>
      <c r="F54" s="48">
        <f>B54*D54</f>
        <v>0.8</v>
      </c>
      <c r="G54" s="48">
        <f>F54*E54</f>
        <v>-0.16000000000000003</v>
      </c>
      <c r="H54" s="48">
        <f t="shared" si="0"/>
        <v>40.799999999999997</v>
      </c>
      <c r="I54" s="48">
        <f t="shared" si="0"/>
        <v>2.44</v>
      </c>
      <c r="J54" s="46">
        <f>I54/H54</f>
        <v>5.9803921568627454E-2</v>
      </c>
    </row>
    <row r="55" spans="1:10" ht="15" customHeight="1" x14ac:dyDescent="0.2">
      <c r="A55" s="24" t="s">
        <v>148</v>
      </c>
      <c r="B55" s="15">
        <v>15.1</v>
      </c>
      <c r="C55" s="15">
        <v>6.3</v>
      </c>
      <c r="D55" s="47">
        <v>0.03</v>
      </c>
      <c r="E55" s="47">
        <v>0.40699999999999997</v>
      </c>
      <c r="F55" s="48">
        <f>B55*D55</f>
        <v>0.45299999999999996</v>
      </c>
      <c r="G55" s="48">
        <f>F55*E55</f>
        <v>0.18437099999999998</v>
      </c>
      <c r="H55" s="48">
        <f t="shared" si="0"/>
        <v>15.552999999999999</v>
      </c>
      <c r="I55" s="48">
        <f t="shared" si="0"/>
        <v>6.4843709999999994</v>
      </c>
      <c r="J55" s="46">
        <f>I55/H55</f>
        <v>0.41692091557898797</v>
      </c>
    </row>
    <row r="56" spans="1:10" ht="15" customHeight="1" x14ac:dyDescent="0.2">
      <c r="A56" s="22" t="s">
        <v>149</v>
      </c>
      <c r="B56" s="49">
        <f>SUM(B52:B55)</f>
        <v>413.50000000000006</v>
      </c>
      <c r="C56" s="49">
        <f>SUM(C52:C55)</f>
        <v>85.399999999999991</v>
      </c>
      <c r="H56" s="49">
        <f>SUM(H52:H55)</f>
        <v>388.48599999999999</v>
      </c>
      <c r="I56" s="49">
        <f>SUM(I52:I55)</f>
        <v>70.722740000000002</v>
      </c>
      <c r="J56" s="50">
        <f>I56/H56</f>
        <v>0.18204707505547177</v>
      </c>
    </row>
    <row r="58" spans="1:10" ht="15" customHeight="1" x14ac:dyDescent="0.2">
      <c r="A58" s="90" t="s">
        <v>150</v>
      </c>
      <c r="B58" s="87"/>
      <c r="C58" s="87"/>
      <c r="D58" s="87"/>
      <c r="E58" s="87"/>
      <c r="F58" s="87"/>
    </row>
    <row r="59" spans="1:10" ht="15" customHeight="1" x14ac:dyDescent="0.2">
      <c r="A59" s="24" t="s">
        <v>151</v>
      </c>
      <c r="C59" s="15">
        <v>-28.6</v>
      </c>
    </row>
    <row r="60" spans="1:10" ht="15" customHeight="1" x14ac:dyDescent="0.2">
      <c r="A60" s="24" t="s">
        <v>152</v>
      </c>
      <c r="B60" s="47">
        <v>0</v>
      </c>
    </row>
    <row r="61" spans="1:10" ht="15" customHeight="1" x14ac:dyDescent="0.2">
      <c r="A61" s="24" t="s">
        <v>153</v>
      </c>
      <c r="D61" s="48">
        <f>C59*(1+B60)</f>
        <v>-28.6</v>
      </c>
    </row>
    <row r="63" spans="1:10" ht="15" customHeight="1" x14ac:dyDescent="0.2">
      <c r="A63" s="24" t="s">
        <v>154</v>
      </c>
      <c r="D63" s="48">
        <f>I56</f>
        <v>70.722740000000002</v>
      </c>
    </row>
    <row r="64" spans="1:10" ht="15" customHeight="1" x14ac:dyDescent="0.2">
      <c r="A64" s="24" t="s">
        <v>155</v>
      </c>
      <c r="D64" s="48">
        <f>D63+D61</f>
        <v>42.12274</v>
      </c>
    </row>
    <row r="65" spans="1:4" ht="15" customHeight="1" x14ac:dyDescent="0.2">
      <c r="A65" s="24" t="s">
        <v>156</v>
      </c>
      <c r="C65" s="15">
        <v>7.7</v>
      </c>
      <c r="D65" s="48">
        <f>-(B26-C65)</f>
        <v>-3.8</v>
      </c>
    </row>
    <row r="66" spans="1:4" ht="15" customHeight="1" x14ac:dyDescent="0.2">
      <c r="A66" s="24" t="s">
        <v>157</v>
      </c>
      <c r="C66" s="51">
        <v>1.3446</v>
      </c>
    </row>
    <row r="67" spans="1:4" ht="15" customHeight="1" x14ac:dyDescent="0.2">
      <c r="A67" s="24" t="s">
        <v>158</v>
      </c>
      <c r="B67" s="52">
        <v>1.37</v>
      </c>
    </row>
    <row r="68" spans="1:4" ht="15" customHeight="1" x14ac:dyDescent="0.2">
      <c r="A68" s="24" t="s">
        <v>159</v>
      </c>
      <c r="D68" s="53">
        <f>(C66-B67)/C66*100</f>
        <v>-1.8890376320095263</v>
      </c>
    </row>
    <row r="69" spans="1:4" ht="15" customHeight="1" x14ac:dyDescent="0.2">
      <c r="A69" s="24" t="s">
        <v>160</v>
      </c>
      <c r="B69" s="54">
        <f>IF(D68&gt;=0,C93,C94)</f>
        <v>1.1258278145695366</v>
      </c>
    </row>
    <row r="70" spans="1:4" ht="15" customHeight="1" x14ac:dyDescent="0.2">
      <c r="A70" s="24" t="s">
        <v>161</v>
      </c>
      <c r="D70" s="53">
        <f>D68*B69</f>
        <v>-2.1267311088848975</v>
      </c>
    </row>
    <row r="71" spans="1:4" ht="15" customHeight="1" x14ac:dyDescent="0.2">
      <c r="A71" s="22" t="s">
        <v>162</v>
      </c>
      <c r="D71" s="49">
        <f>D64*(1+D70/100)+D65</f>
        <v>37.426902584505299</v>
      </c>
    </row>
    <row r="73" spans="1:4" ht="53.25" customHeight="1" x14ac:dyDescent="0.2">
      <c r="A73" s="29" t="s">
        <v>230</v>
      </c>
    </row>
    <row r="89" spans="1:6" ht="15" customHeight="1" x14ac:dyDescent="0.2">
      <c r="A89" s="90" t="s">
        <v>179</v>
      </c>
      <c r="B89" s="87"/>
      <c r="C89" s="87"/>
      <c r="D89" s="87"/>
      <c r="E89" s="87"/>
      <c r="F89" s="87"/>
    </row>
    <row r="90" spans="1:6" ht="15" customHeight="1" x14ac:dyDescent="0.2">
      <c r="A90" s="24" t="s">
        <v>180</v>
      </c>
      <c r="C90" s="61">
        <v>5.6</v>
      </c>
    </row>
    <row r="91" spans="1:6" ht="15" customHeight="1" x14ac:dyDescent="0.2">
      <c r="A91" s="24" t="s">
        <v>181</v>
      </c>
      <c r="C91" s="61">
        <v>5.0999999999999996</v>
      </c>
    </row>
    <row r="92" spans="1:6" ht="15" customHeight="1" x14ac:dyDescent="0.2">
      <c r="A92" s="24" t="s">
        <v>182</v>
      </c>
      <c r="C92" s="61">
        <v>90.6</v>
      </c>
    </row>
    <row r="93" spans="1:6" ht="15" customHeight="1" x14ac:dyDescent="0.2">
      <c r="A93" s="24" t="s">
        <v>183</v>
      </c>
      <c r="C93" s="54">
        <f>C90/C92/5*100</f>
        <v>1.2362030905077264</v>
      </c>
    </row>
    <row r="94" spans="1:6" ht="15" customHeight="1" x14ac:dyDescent="0.2">
      <c r="A94" s="24" t="s">
        <v>184</v>
      </c>
      <c r="C94" s="54">
        <f>C91/C92/5*100</f>
        <v>1.1258278145695366</v>
      </c>
    </row>
    <row r="96" spans="1:6" ht="15" customHeight="1" x14ac:dyDescent="0.2">
      <c r="A96" s="27" t="s">
        <v>185</v>
      </c>
    </row>
    <row r="97" spans="1:6" ht="30" customHeight="1" x14ac:dyDescent="0.2">
      <c r="A97" s="62" t="s">
        <v>186</v>
      </c>
      <c r="C97" s="62" t="s">
        <v>187</v>
      </c>
      <c r="D97" s="62" t="s">
        <v>188</v>
      </c>
      <c r="E97" s="62" t="s">
        <v>189</v>
      </c>
    </row>
    <row r="98" spans="1:6" ht="15" customHeight="1" x14ac:dyDescent="0.2">
      <c r="A98" s="24" t="s">
        <v>190</v>
      </c>
      <c r="C98" s="61">
        <v>5.5</v>
      </c>
      <c r="D98" s="61">
        <v>2.1</v>
      </c>
      <c r="E98" s="58">
        <f t="shared" ref="E98:E104" si="1">C98-D98</f>
        <v>3.4</v>
      </c>
    </row>
    <row r="99" spans="1:6" ht="15" customHeight="1" x14ac:dyDescent="0.2">
      <c r="A99" s="24" t="s">
        <v>191</v>
      </c>
      <c r="C99" s="61">
        <v>1.9</v>
      </c>
      <c r="D99" s="61">
        <v>0.5</v>
      </c>
      <c r="E99" s="58">
        <f t="shared" si="1"/>
        <v>1.4</v>
      </c>
    </row>
    <row r="100" spans="1:6" ht="15" customHeight="1" x14ac:dyDescent="0.2">
      <c r="A100" s="24" t="s">
        <v>192</v>
      </c>
      <c r="C100" s="61">
        <v>2.2999999999999998</v>
      </c>
      <c r="D100" s="61">
        <v>2.2999999999999998</v>
      </c>
      <c r="E100" s="58">
        <f t="shared" si="1"/>
        <v>0</v>
      </c>
    </row>
    <row r="101" spans="1:6" ht="15" customHeight="1" x14ac:dyDescent="0.2">
      <c r="A101" s="24" t="s">
        <v>193</v>
      </c>
      <c r="C101" s="61">
        <v>33</v>
      </c>
      <c r="D101" s="61">
        <v>23.1</v>
      </c>
      <c r="E101" s="58">
        <f t="shared" si="1"/>
        <v>9.8999999999999986</v>
      </c>
    </row>
    <row r="102" spans="1:6" ht="15" customHeight="1" x14ac:dyDescent="0.2">
      <c r="A102" s="24" t="s">
        <v>194</v>
      </c>
      <c r="C102" s="61">
        <v>33.4</v>
      </c>
      <c r="D102" s="61">
        <v>31.6</v>
      </c>
      <c r="E102" s="58">
        <f t="shared" si="1"/>
        <v>1.7999999999999972</v>
      </c>
    </row>
    <row r="103" spans="1:6" ht="15" customHeight="1" x14ac:dyDescent="0.2">
      <c r="A103" s="24" t="s">
        <v>195</v>
      </c>
      <c r="C103" s="61">
        <v>11.2</v>
      </c>
      <c r="D103" s="61">
        <v>5.6</v>
      </c>
      <c r="E103" s="58">
        <f t="shared" si="1"/>
        <v>5.6</v>
      </c>
    </row>
    <row r="104" spans="1:6" ht="15" customHeight="1" x14ac:dyDescent="0.2">
      <c r="A104" s="24" t="s">
        <v>196</v>
      </c>
      <c r="C104" s="61">
        <v>78</v>
      </c>
      <c r="D104" s="61">
        <v>32.700000000000003</v>
      </c>
      <c r="E104" s="58">
        <f t="shared" si="1"/>
        <v>45.3</v>
      </c>
    </row>
    <row r="105" spans="1:6" ht="15" customHeight="1" x14ac:dyDescent="0.2">
      <c r="A105" s="24" t="s">
        <v>197</v>
      </c>
      <c r="C105" s="61">
        <v>227.1</v>
      </c>
    </row>
    <row r="106" spans="1:6" ht="15" customHeight="1" x14ac:dyDescent="0.2">
      <c r="A106" s="24" t="s">
        <v>198</v>
      </c>
      <c r="C106" s="61">
        <v>260.10000000000002</v>
      </c>
    </row>
    <row r="107" spans="1:6" ht="15" customHeight="1" x14ac:dyDescent="0.2">
      <c r="A107" s="24" t="s">
        <v>199</v>
      </c>
      <c r="E107" s="58">
        <f>(C106-C105)+SUM(E98:E103)</f>
        <v>55.100000000000023</v>
      </c>
    </row>
    <row r="108" spans="1:6" ht="15" customHeight="1" x14ac:dyDescent="0.2">
      <c r="A108" s="24" t="s">
        <v>200</v>
      </c>
      <c r="E108" s="63">
        <f>E107/E104</f>
        <v>1.2163355408388528</v>
      </c>
    </row>
    <row r="109" spans="1:6" ht="105" customHeight="1" x14ac:dyDescent="0.2">
      <c r="A109" s="91" t="s">
        <v>201</v>
      </c>
      <c r="B109" s="87"/>
      <c r="C109" s="87"/>
      <c r="D109" s="87"/>
      <c r="E109" s="87"/>
      <c r="F109" s="87"/>
    </row>
    <row r="111" spans="1:6" ht="15" customHeight="1" x14ac:dyDescent="0.2">
      <c r="A111" s="27" t="s">
        <v>202</v>
      </c>
    </row>
    <row r="112" spans="1:6" ht="15" customHeight="1" x14ac:dyDescent="0.2">
      <c r="A112" s="24" t="s">
        <v>203</v>
      </c>
      <c r="C112" s="61">
        <v>67.5</v>
      </c>
      <c r="D112" s="61">
        <v>22.2</v>
      </c>
      <c r="E112" s="58">
        <f>C112-D112</f>
        <v>45.3</v>
      </c>
    </row>
    <row r="113" spans="1:6" ht="15" customHeight="1" x14ac:dyDescent="0.2">
      <c r="A113" s="24" t="s">
        <v>204</v>
      </c>
      <c r="C113" s="61">
        <v>60.9</v>
      </c>
      <c r="D113" s="61">
        <v>17</v>
      </c>
      <c r="E113" s="58">
        <f>C113-D113</f>
        <v>43.9</v>
      </c>
    </row>
    <row r="114" spans="1:6" ht="15" customHeight="1" x14ac:dyDescent="0.2">
      <c r="A114" s="24" t="s">
        <v>205</v>
      </c>
      <c r="E114" s="58">
        <f>E112-E113</f>
        <v>1.3999999999999986</v>
      </c>
    </row>
    <row r="115" spans="1:6" ht="15" customHeight="1" x14ac:dyDescent="0.2">
      <c r="A115" s="27" t="s">
        <v>206</v>
      </c>
      <c r="E115" s="64">
        <f>(E107+E114)/E104</f>
        <v>1.2472406181015459</v>
      </c>
    </row>
    <row r="116" spans="1:6" ht="79.5" customHeight="1" x14ac:dyDescent="0.2">
      <c r="A116" s="91" t="s">
        <v>207</v>
      </c>
      <c r="B116" s="87"/>
      <c r="C116" s="87"/>
      <c r="D116" s="87"/>
      <c r="E116" s="87"/>
      <c r="F116" s="87"/>
    </row>
  </sheetData>
  <mergeCells count="9">
    <mergeCell ref="A116:F116"/>
    <mergeCell ref="A1:F1"/>
    <mergeCell ref="A31:F31"/>
    <mergeCell ref="A89:F89"/>
    <mergeCell ref="A50:J50"/>
    <mergeCell ref="A58:F58"/>
    <mergeCell ref="A18:F18"/>
    <mergeCell ref="A4:F4"/>
    <mergeCell ref="A109:F109"/>
  </mergeCells>
  <pageMargins left="0.75" right="0.75" top="1" bottom="1" header="0.511811023622047" footer="0.511811023622047"/>
  <pageSetup paperSize="9" fitToHeight="0" orientation="landscape"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4"/>
  <sheetViews>
    <sheetView tabSelected="1" zoomScaleNormal="100" workbookViewId="0">
      <selection activeCell="H6" sqref="H6"/>
    </sheetView>
  </sheetViews>
  <sheetFormatPr baseColWidth="10" defaultColWidth="10.6640625" defaultRowHeight="15" x14ac:dyDescent="0.2"/>
  <cols>
    <col min="1" max="1" width="64.33203125" customWidth="1"/>
    <col min="2" max="2" width="18.83203125" customWidth="1"/>
    <col min="4" max="7" width="17" customWidth="1"/>
    <col min="9" max="9" width="12.33203125" customWidth="1"/>
    <col min="10" max="10" width="13.1640625" customWidth="1"/>
    <col min="11" max="11" width="44.1640625" customWidth="1"/>
  </cols>
  <sheetData>
    <row r="1" spans="1:7" ht="18" customHeight="1" x14ac:dyDescent="0.2">
      <c r="A1" s="1" t="s">
        <v>231</v>
      </c>
      <c r="B1" s="72"/>
      <c r="C1" s="72"/>
      <c r="D1" s="72"/>
    </row>
    <row r="2" spans="1:7" ht="15" customHeight="1" x14ac:dyDescent="0.2">
      <c r="A2" s="2" t="s">
        <v>232</v>
      </c>
    </row>
    <row r="4" spans="1:7" ht="15" customHeight="1" x14ac:dyDescent="0.2">
      <c r="A4" s="3" t="s">
        <v>233</v>
      </c>
      <c r="D4" s="3" t="s">
        <v>234</v>
      </c>
    </row>
    <row r="5" spans="1:7" ht="15" customHeight="1" x14ac:dyDescent="0.2">
      <c r="A5" s="73" t="s">
        <v>235</v>
      </c>
      <c r="B5" s="73" t="s">
        <v>8</v>
      </c>
      <c r="D5" s="73" t="s">
        <v>235</v>
      </c>
      <c r="E5" s="73" t="s">
        <v>236</v>
      </c>
      <c r="F5" s="73" t="s">
        <v>237</v>
      </c>
      <c r="G5" s="73" t="s">
        <v>12</v>
      </c>
    </row>
    <row r="6" spans="1:7" ht="15" customHeight="1" x14ac:dyDescent="0.2">
      <c r="A6" t="s">
        <v>4</v>
      </c>
      <c r="B6" s="74">
        <f>Summary!B5</f>
        <v>872.11982860506555</v>
      </c>
      <c r="D6" t="s">
        <v>4</v>
      </c>
      <c r="E6" s="74">
        <f>Summary!B6</f>
        <v>126.91050142909477</v>
      </c>
      <c r="F6" s="74">
        <f>Summary!B8</f>
        <v>104.27753359325749</v>
      </c>
      <c r="G6" s="74">
        <f>Summary!B9</f>
        <v>97.086533593257499</v>
      </c>
    </row>
    <row r="7" spans="1:7" ht="15" customHeight="1" x14ac:dyDescent="0.2">
      <c r="A7" t="s">
        <v>5</v>
      </c>
      <c r="B7" s="74">
        <f>Summary!C5</f>
        <v>913.21318101965471</v>
      </c>
      <c r="D7" t="s">
        <v>5</v>
      </c>
      <c r="E7" s="74">
        <f>Summary!C6</f>
        <v>139.46181010103135</v>
      </c>
      <c r="F7" s="74">
        <f>Summary!C8</f>
        <v>113.87928472728896</v>
      </c>
      <c r="G7" s="74">
        <f>Summary!C9</f>
        <v>106.68828472728899</v>
      </c>
    </row>
    <row r="8" spans="1:7" ht="15" customHeight="1" x14ac:dyDescent="0.2">
      <c r="A8" t="s">
        <v>6</v>
      </c>
      <c r="B8" s="74">
        <f>Summary!D5</f>
        <v>801.98599999999999</v>
      </c>
      <c r="D8" t="s">
        <v>6</v>
      </c>
      <c r="E8" s="74">
        <f>Summary!D6</f>
        <v>94.226902584505297</v>
      </c>
      <c r="F8" s="74">
        <f>Summary!D8</f>
        <v>79.274580477146557</v>
      </c>
      <c r="G8" s="74">
        <f>Summary!D9</f>
        <v>72.083580477146555</v>
      </c>
    </row>
    <row r="10" spans="1:7" ht="15" customHeight="1" x14ac:dyDescent="0.2">
      <c r="A10" s="3" t="s">
        <v>238</v>
      </c>
    </row>
    <row r="11" spans="1:7" ht="15" customHeight="1" x14ac:dyDescent="0.2">
      <c r="A11" s="73" t="s">
        <v>235</v>
      </c>
      <c r="B11" s="73" t="s">
        <v>239</v>
      </c>
      <c r="C11" s="73" t="s">
        <v>240</v>
      </c>
    </row>
    <row r="12" spans="1:7" ht="15" customHeight="1" x14ac:dyDescent="0.2">
      <c r="A12" t="s">
        <v>4</v>
      </c>
      <c r="B12" s="75">
        <f>Summary!B7</f>
        <v>0.14551956883274289</v>
      </c>
      <c r="C12" s="75">
        <f>Summary!B15</f>
        <v>0.28131992342057632</v>
      </c>
    </row>
    <row r="13" spans="1:7" ht="15" customHeight="1" x14ac:dyDescent="0.2">
      <c r="A13" t="s">
        <v>5</v>
      </c>
      <c r="B13" s="75">
        <f>Summary!C7</f>
        <v>0.15271550279783988</v>
      </c>
      <c r="C13" s="75">
        <f>Summary!C15</f>
        <v>0.30724344337600584</v>
      </c>
    </row>
    <row r="14" spans="1:7" ht="15" customHeight="1" x14ac:dyDescent="0.2">
      <c r="A14" t="s">
        <v>6</v>
      </c>
      <c r="B14" s="75">
        <f>Summary!D7</f>
        <v>0.11749195445370031</v>
      </c>
      <c r="C14" s="75">
        <f>Summary!D15</f>
        <v>0.2097208645384355</v>
      </c>
    </row>
  </sheetData>
  <pageMargins left="0.7" right="0.7" top="0.75" bottom="0.75"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Summary</vt:lpstr>
      <vt:lpstr>Base Case</vt:lpstr>
      <vt:lpstr>Bull Case</vt:lpstr>
      <vt:lpstr>Bear Case</vt:lpstr>
      <vt:lpstr>Scenario 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Jae Song</cp:lastModifiedBy>
  <cp:revision>16</cp:revision>
  <dcterms:created xsi:type="dcterms:W3CDTF">2026-09-23T08:53:16Z</dcterms:created>
  <dcterms:modified xsi:type="dcterms:W3CDTF">2026-09-27T20:30:39Z</dcterms:modified>
  <dc:language>en-US</dc:language>
</cp:coreProperties>
</file>