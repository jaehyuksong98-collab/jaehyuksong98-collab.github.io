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alcula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<sst xmlns="http://schemas.openxmlformats.org/spreadsheetml/2006/main" count="109" uniqueCount="46">
  <si>
    <t xml:space="preserve">Clarkson PLC (LSE: CKN) — Segment Revenue &amp; Operating Profit Data</t>
  </si>
  <si>
    <t xml:space="preserve">Segment Revenue &amp; Operating Profit (£m)</t>
  </si>
  <si>
    <t xml:space="preserve">Segment</t>
  </si>
  <si>
    <t xml:space="preserve">FY2024 Revenue</t>
  </si>
  <si>
    <t xml:space="preserve">FY2025 Revenue</t>
  </si>
  <si>
    <t xml:space="preserve">H1 2025 Revenue</t>
  </si>
  <si>
    <t xml:space="preserve">H1 2026 Revenue</t>
  </si>
  <si>
    <t xml:space="preserve">FY2024 Op Profit</t>
  </si>
  <si>
    <t xml:space="preserve">FY2025 Op Profit</t>
  </si>
  <si>
    <t xml:space="preserve">H1 2025 Op Profit</t>
  </si>
  <si>
    <t xml:space="preserve">H1 2026 Op Profit</t>
  </si>
  <si>
    <t xml:space="preserve">Broking</t>
  </si>
  <si>
    <t xml:space="preserve">Financial</t>
  </si>
  <si>
    <t xml:space="preserve">Support</t>
  </si>
  <si>
    <t xml:space="preserve">Research</t>
  </si>
  <si>
    <t xml:space="preserve">Segment Total</t>
  </si>
  <si>
    <t xml:space="preserve">Head Office Costs</t>
  </si>
  <si>
    <t xml:space="preserve">n/a</t>
  </si>
  <si>
    <t xml:space="preserve">Group Total</t>
  </si>
  <si>
    <t xml:space="preserve">Source: Clarkson PLC 2025 Annual Report, Note 4 "Segmental information" (FY2024/FY2025); Interim Results Announcement 2026, Note 3 "Segmental information" (H1 2025/H1 2026).</t>
  </si>
  <si>
    <t xml:space="preserve">Average Number of Employees by Segment</t>
  </si>
  <si>
    <t xml:space="preserve">FY2024 Employees</t>
  </si>
  <si>
    <t xml:space="preserve">FY2025 Employees</t>
  </si>
  <si>
    <t xml:space="preserve">Total</t>
  </si>
  <si>
    <t xml:space="preserve">Source: Clarkson PLC 2025 Annual Report, Note 3 (Employee costs), average monthly headcount by segment.</t>
  </si>
  <si>
    <t xml:space="preserve">Revenue by Geography — by Origin of Invoice (£m)</t>
  </si>
  <si>
    <t xml:space="preserve">Region</t>
  </si>
  <si>
    <t xml:space="preserve">Europe, Middle East and Africa</t>
  </si>
  <si>
    <t xml:space="preserve">Americas</t>
  </si>
  <si>
    <t xml:space="preserve">Asia-Pacific</t>
  </si>
  <si>
    <t xml:space="preserve">of which: United Kingdom</t>
  </si>
  <si>
    <t xml:space="preserve">Source: Clarkson PLC 2025 Annual Report, Note 4 "Segmental information" — Geographical segments by origin of invoice.</t>
  </si>
  <si>
    <t xml:space="preserve">Clarkson PLC (LSE: CKN) — Segment Calculations</t>
  </si>
  <si>
    <t xml:space="preserve">1. Revenue Mix — Segment Revenue ÷ Total Segment Revenue (%)</t>
  </si>
  <si>
    <t xml:space="preserve">FY2024</t>
  </si>
  <si>
    <t xml:space="preserve">FY2025</t>
  </si>
  <si>
    <t xml:space="preserve">H1 2025</t>
  </si>
  <si>
    <t xml:space="preserve">H1 2026</t>
  </si>
  <si>
    <t xml:space="preserve">2. Operating Profit Mix — Segment Op. Profit ÷ Total Segment Op. Profit (%)</t>
  </si>
  <si>
    <t xml:space="preserve">3. Operating Margin — Segment Op. Profit ÷ Segment Revenue (%)</t>
  </si>
  <si>
    <t xml:space="preserve">4. Head Office Cost Erosion — |Head Office Costs| ÷ Total Segment Op. Profit (%)</t>
  </si>
  <si>
    <t xml:space="preserve">Group</t>
  </si>
  <si>
    <t xml:space="preserve">5. Revenue per Employee — Segment Revenue (£m) × 1000 ÷ Avg. Employees (£'000)</t>
  </si>
  <si>
    <t xml:space="preserve">Group Average</t>
  </si>
  <si>
    <t xml:space="preserve">6. Operating Profit per Employee — Segment Op. Profit (£m) × 1000 ÷ Avg. Employees (£'000)</t>
  </si>
  <si>
    <t xml:space="preserve">7. Geographic Revenue Mix — Region Revenue ÷ Total Revenue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</si>
</sst>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;\-"/>
    <numFmt numFmtId="166" formatCode="#,##0;\(#,##0\);\-"/>
    <numFmt numFmtId="167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529.3</v>
      </c>
      <c r="C5" s="5" t="n">
        <v>476</v>
      </c>
      <c r="D5" s="5" t="n">
        <v>222.2</v>
      </c>
      <c r="E5" s="5" t="n">
        <v>310.3</v>
      </c>
      <c r="F5" s="5" t="n">
        <v>122.6</v>
      </c>
      <c r="G5" s="5" t="n">
        <v>93.9</v>
      </c>
      <c r="H5" s="5" t="n">
        <v>41.8</v>
      </c>
      <c r="I5" s="5" t="n">
        <v>64.8</v>
      </c>
    </row>
    <row r="6" customFormat="false" ht="15" hidden="false" customHeight="false" outlineLevel="0" collapsed="false">
      <c r="A6" s="4" t="s">
        <v>12</v>
      </c>
      <c r="B6" s="5" t="n">
        <v>42.6</v>
      </c>
      <c r="C6" s="5" t="n">
        <v>60.1</v>
      </c>
      <c r="D6" s="5" t="n">
        <v>28.9</v>
      </c>
      <c r="E6" s="5" t="n">
        <v>48.1</v>
      </c>
      <c r="F6" s="5" t="n">
        <v>5.2</v>
      </c>
      <c r="G6" s="5" t="n">
        <v>12.9</v>
      </c>
      <c r="H6" s="5" t="n">
        <v>4.5</v>
      </c>
      <c r="I6" s="5" t="n">
        <v>11.7</v>
      </c>
    </row>
    <row r="7" customFormat="false" ht="15" hidden="false" customHeight="false" outlineLevel="0" collapsed="false">
      <c r="A7" s="4" t="s">
        <v>13</v>
      </c>
      <c r="B7" s="5" t="n">
        <v>65</v>
      </c>
      <c r="C7" s="5" t="n">
        <v>68.1</v>
      </c>
      <c r="D7" s="5" t="n">
        <v>33.6</v>
      </c>
      <c r="E7" s="5" t="n">
        <v>40</v>
      </c>
      <c r="F7" s="5" t="n">
        <v>7.7</v>
      </c>
      <c r="G7" s="5" t="n">
        <v>4.8</v>
      </c>
      <c r="H7" s="5" t="n">
        <v>2.9</v>
      </c>
      <c r="I7" s="5" t="n">
        <v>2.6</v>
      </c>
    </row>
    <row r="8" customFormat="false" ht="15" hidden="false" customHeight="false" outlineLevel="0" collapsed="false">
      <c r="A8" s="4" t="s">
        <v>14</v>
      </c>
      <c r="B8" s="5" t="n">
        <v>24.5</v>
      </c>
      <c r="C8" s="5" t="n">
        <v>27.2</v>
      </c>
      <c r="D8" s="5" t="n">
        <v>13.1</v>
      </c>
      <c r="E8" s="5" t="n">
        <v>15.1</v>
      </c>
      <c r="F8" s="5" t="n">
        <v>9.5</v>
      </c>
      <c r="G8" s="5" t="n">
        <v>10.6</v>
      </c>
      <c r="H8" s="5" t="n">
        <v>5.1</v>
      </c>
      <c r="I8" s="5" t="n">
        <v>6.3</v>
      </c>
    </row>
    <row r="9" customFormat="false" ht="15" hidden="false" customHeight="false" outlineLevel="0" collapsed="false">
      <c r="A9" s="6" t="s">
        <v>15</v>
      </c>
      <c r="B9" s="7" t="n">
        <f aca="false">SUM(B5:B8)</f>
        <v>661.4</v>
      </c>
      <c r="C9" s="7" t="n">
        <f aca="false">SUM(C5:C8)</f>
        <v>631.4</v>
      </c>
      <c r="D9" s="7" t="n">
        <f aca="false">SUM(D5:D8)</f>
        <v>297.8</v>
      </c>
      <c r="E9" s="7" t="n">
        <f aca="false">SUM(E5:E8)</f>
        <v>413.5</v>
      </c>
      <c r="F9" s="7" t="n">
        <f aca="false">SUM(F5:F8)</f>
        <v>145</v>
      </c>
      <c r="G9" s="7" t="n">
        <f aca="false">SUM(G5:G8)</f>
        <v>122.2</v>
      </c>
      <c r="H9" s="7" t="n">
        <f aca="false">SUM(H5:H8)</f>
        <v>54.3</v>
      </c>
      <c r="I9" s="7" t="n">
        <f aca="false">SUM(I5:I8)</f>
        <v>85.4</v>
      </c>
    </row>
    <row r="10" customFormat="false" ht="15" hidden="false" customHeight="false" outlineLevel="0" collapsed="false">
      <c r="A10" s="4" t="s">
        <v>16</v>
      </c>
      <c r="B10" s="8" t="s">
        <v>17</v>
      </c>
      <c r="C10" s="8" t="s">
        <v>17</v>
      </c>
      <c r="D10" s="8" t="s">
        <v>17</v>
      </c>
      <c r="E10" s="8" t="s">
        <v>17</v>
      </c>
      <c r="F10" s="5" t="n">
        <v>-43.3</v>
      </c>
      <c r="G10" s="5" t="n">
        <v>-44.2</v>
      </c>
      <c r="H10" s="5" t="n">
        <v>-21.6</v>
      </c>
      <c r="I10" s="5" t="n">
        <v>-28.6</v>
      </c>
    </row>
    <row r="11" customFormat="false" ht="15" hidden="false" customHeight="false" outlineLevel="0" collapsed="false">
      <c r="A11" s="6" t="s">
        <v>18</v>
      </c>
      <c r="B11" s="7" t="n">
        <f aca="false">B9</f>
        <v>661.4</v>
      </c>
      <c r="C11" s="7" t="n">
        <f aca="false">C9</f>
        <v>631.4</v>
      </c>
      <c r="D11" s="7" t="n">
        <f aca="false">D9</f>
        <v>297.8</v>
      </c>
      <c r="E11" s="7" t="n">
        <f aca="false">E9</f>
        <v>413.5</v>
      </c>
      <c r="F11" s="7" t="n">
        <f aca="false">F9+F10</f>
        <v>101.7</v>
      </c>
      <c r="G11" s="7" t="n">
        <f aca="false">G9+G10</f>
        <v>78</v>
      </c>
      <c r="H11" s="7" t="n">
        <f aca="false">H9+H10</f>
        <v>32.7</v>
      </c>
      <c r="I11" s="7" t="n">
        <f aca="false">I9+I10</f>
        <v>56.8</v>
      </c>
    </row>
    <row r="12" customFormat="false" ht="15" hidden="false" customHeight="false" outlineLevel="0" collapsed="false">
      <c r="A12" s="9" t="s">
        <v>19</v>
      </c>
    </row>
    <row r="15" customFormat="false" ht="15" hidden="false" customHeight="false" outlineLevel="0" collapsed="false">
      <c r="A15" s="2" t="s">
        <v>20</v>
      </c>
    </row>
    <row r="16" customFormat="false" ht="26.85" hidden="false" customHeight="false" outlineLevel="0" collapsed="false">
      <c r="A16" s="3" t="s">
        <v>2</v>
      </c>
      <c r="B16" s="3" t="s">
        <v>21</v>
      </c>
      <c r="C16" s="3" t="s">
        <v>22</v>
      </c>
    </row>
    <row r="17" customFormat="false" ht="15" hidden="false" customHeight="false" outlineLevel="0" collapsed="false">
      <c r="A17" s="4" t="s">
        <v>11</v>
      </c>
      <c r="B17" s="10" t="n">
        <v>1402</v>
      </c>
      <c r="C17" s="10" t="n">
        <v>1504</v>
      </c>
    </row>
    <row r="18" customFormat="false" ht="15" hidden="false" customHeight="false" outlineLevel="0" collapsed="false">
      <c r="A18" s="4" t="s">
        <v>12</v>
      </c>
      <c r="B18" s="10" t="n">
        <v>119</v>
      </c>
      <c r="C18" s="10" t="n">
        <v>127</v>
      </c>
    </row>
    <row r="19" customFormat="false" ht="15" hidden="false" customHeight="false" outlineLevel="0" collapsed="false">
      <c r="A19" s="4" t="s">
        <v>13</v>
      </c>
      <c r="B19" s="10" t="n">
        <v>432</v>
      </c>
      <c r="C19" s="10" t="n">
        <v>457</v>
      </c>
    </row>
    <row r="20" customFormat="false" ht="15" hidden="false" customHeight="false" outlineLevel="0" collapsed="false">
      <c r="A20" s="4" t="s">
        <v>14</v>
      </c>
      <c r="B20" s="10" t="n">
        <v>150</v>
      </c>
      <c r="C20" s="10" t="n">
        <v>167</v>
      </c>
    </row>
    <row r="21" customFormat="false" ht="15" hidden="false" customHeight="false" outlineLevel="0" collapsed="false">
      <c r="A21" s="6" t="s">
        <v>23</v>
      </c>
      <c r="B21" s="11" t="n">
        <f aca="false">SUM(B17:B20)</f>
        <v>2103</v>
      </c>
      <c r="C21" s="11" t="n">
        <f aca="false">SUM(C17:C20)</f>
        <v>2255</v>
      </c>
    </row>
    <row r="22" customFormat="false" ht="15" hidden="false" customHeight="false" outlineLevel="0" collapsed="false">
      <c r="A22" s="9" t="s">
        <v>24</v>
      </c>
    </row>
    <row r="25" customFormat="false" ht="15" hidden="false" customHeight="false" outlineLevel="0" collapsed="false">
      <c r="A25" s="2" t="s">
        <v>25</v>
      </c>
    </row>
    <row r="26" customFormat="false" ht="26.85" hidden="false" customHeight="false" outlineLevel="0" collapsed="false">
      <c r="A26" s="3" t="s">
        <v>26</v>
      </c>
      <c r="B26" s="3" t="s">
        <v>3</v>
      </c>
      <c r="C26" s="3" t="s">
        <v>4</v>
      </c>
    </row>
    <row r="27" customFormat="false" ht="15" hidden="false" customHeight="false" outlineLevel="0" collapsed="false">
      <c r="A27" s="4" t="s">
        <v>27</v>
      </c>
      <c r="B27" s="5" t="n">
        <v>484.4</v>
      </c>
      <c r="C27" s="5" t="n">
        <v>469.4</v>
      </c>
    </row>
    <row r="28" customFormat="false" ht="15" hidden="false" customHeight="false" outlineLevel="0" collapsed="false">
      <c r="A28" s="4" t="s">
        <v>28</v>
      </c>
      <c r="B28" s="5" t="n">
        <v>28.7</v>
      </c>
      <c r="C28" s="5" t="n">
        <v>23.4</v>
      </c>
    </row>
    <row r="29" customFormat="false" ht="15" hidden="false" customHeight="false" outlineLevel="0" collapsed="false">
      <c r="A29" s="4" t="s">
        <v>29</v>
      </c>
      <c r="B29" s="5" t="n">
        <v>148.3</v>
      </c>
      <c r="C29" s="5" t="n">
        <v>138.6</v>
      </c>
    </row>
    <row r="30" customFormat="false" ht="15" hidden="false" customHeight="false" outlineLevel="0" collapsed="false">
      <c r="A30" s="6" t="s">
        <v>23</v>
      </c>
      <c r="B30" s="7" t="n">
        <f aca="false">SUM(B27:B29)</f>
        <v>661.4</v>
      </c>
      <c r="C30" s="7" t="n">
        <f aca="false">SUM(C27:C29)</f>
        <v>631.4</v>
      </c>
    </row>
    <row r="31" customFormat="false" ht="15" hidden="false" customHeight="false" outlineLevel="0" collapsed="false">
      <c r="A31" s="4" t="s">
        <v>30</v>
      </c>
      <c r="B31" s="5" t="n">
        <v>287.6</v>
      </c>
      <c r="C31" s="5" t="n">
        <v>271.4</v>
      </c>
    </row>
    <row r="32" customFormat="false" ht="15" hidden="false" customHeight="false" outlineLevel="0" collapsed="false">
      <c r="A32" s="9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32</v>
      </c>
    </row>
    <row r="3" customFormat="false" ht="15" hidden="false" customHeight="false" outlineLevel="0" collapsed="false">
      <c r="A3" s="2" t="s">
        <v>33</v>
      </c>
    </row>
    <row r="4" customFormat="false" ht="15" hidden="false" customHeight="false" outlineLevel="0" collapsed="false">
      <c r="A4" s="3" t="s">
        <v>2</v>
      </c>
      <c r="B4" s="3" t="s">
        <v>34</v>
      </c>
      <c r="C4" s="3" t="s">
        <v>35</v>
      </c>
      <c r="D4" s="3" t="s">
        <v>36</v>
      </c>
      <c r="E4" s="3" t="s">
        <v>37</v>
      </c>
    </row>
    <row r="5" customFormat="false" ht="15" hidden="false" customHeight="false" outlineLevel="0" collapsed="false">
      <c r="A5" s="12" t="s">
        <v>11</v>
      </c>
      <c r="B5" s="13" t="n">
        <f aca="false">Data!B5/Data!B9</f>
        <v>0.800272149984881</v>
      </c>
      <c r="C5" s="13" t="n">
        <f aca="false">Data!C5/Data!C9</f>
        <v>0.753880266075388</v>
      </c>
      <c r="D5" s="13" t="n">
        <f aca="false">Data!D5/Data!D9</f>
        <v>0.746138347884486</v>
      </c>
      <c r="E5" s="13" t="n">
        <f aca="false">Data!E5/Data!E9</f>
        <v>0.750423216444982</v>
      </c>
    </row>
    <row r="6" customFormat="false" ht="15" hidden="false" customHeight="false" outlineLevel="0" collapsed="false">
      <c r="A6" s="12" t="s">
        <v>12</v>
      </c>
      <c r="B6" s="13" t="n">
        <f aca="false">Data!B6/Data!B9</f>
        <v>0.064408829755065</v>
      </c>
      <c r="C6" s="13" t="n">
        <f aca="false">Data!C6/Data!C9</f>
        <v>0.0951853025023757</v>
      </c>
      <c r="D6" s="13" t="n">
        <f aca="false">Data!D6/Data!D9</f>
        <v>0.0970449966420416</v>
      </c>
      <c r="E6" s="13" t="n">
        <f aca="false">Data!E6/Data!E9</f>
        <v>0.116324062877872</v>
      </c>
    </row>
    <row r="7" customFormat="false" ht="15" hidden="false" customHeight="false" outlineLevel="0" collapsed="false">
      <c r="A7" s="12" t="s">
        <v>13</v>
      </c>
      <c r="B7" s="13" t="n">
        <f aca="false">Data!B7/Data!B9</f>
        <v>0.0982763834290898</v>
      </c>
      <c r="C7" s="13" t="n">
        <f aca="false">Data!C7/Data!C9</f>
        <v>0.107855559075071</v>
      </c>
      <c r="D7" s="13" t="n">
        <f aca="false">Data!D7/Data!D9</f>
        <v>0.112827400940228</v>
      </c>
      <c r="E7" s="13" t="n">
        <f aca="false">Data!E7/Data!E9</f>
        <v>0.0967351874244256</v>
      </c>
    </row>
    <row r="8" customFormat="false" ht="15" hidden="false" customHeight="false" outlineLevel="0" collapsed="false">
      <c r="A8" s="12" t="s">
        <v>14</v>
      </c>
      <c r="B8" s="13" t="n">
        <f aca="false">Data!B8/Data!B9</f>
        <v>0.0370426368309646</v>
      </c>
      <c r="C8" s="13" t="n">
        <f aca="false">Data!C8/Data!C9</f>
        <v>0.043078872347165</v>
      </c>
      <c r="D8" s="13" t="n">
        <f aca="false">Data!D8/Data!D9</f>
        <v>0.0439892545332438</v>
      </c>
      <c r="E8" s="13" t="n">
        <f aca="false">Data!E8/Data!E9</f>
        <v>0.0365175332527207</v>
      </c>
    </row>
    <row r="9" customFormat="false" ht="15" hidden="false" customHeight="false" outlineLevel="0" collapsed="false">
      <c r="A9" s="6" t="s">
        <v>23</v>
      </c>
      <c r="B9" s="14" t="n">
        <f aca="false">SUM(B5:B8)</f>
        <v>1</v>
      </c>
      <c r="C9" s="14" t="n">
        <f aca="false">SUM(C5:C8)</f>
        <v>1</v>
      </c>
      <c r="D9" s="14" t="n">
        <f aca="false">SUM(D5:D8)</f>
        <v>1</v>
      </c>
      <c r="E9" s="14" t="n">
        <f aca="false">SUM(E5:E8)</f>
        <v>1</v>
      </c>
    </row>
    <row r="12" customFormat="false" ht="15" hidden="false" customHeight="false" outlineLevel="0" collapsed="false">
      <c r="A12" s="2" t="s">
        <v>38</v>
      </c>
    </row>
    <row r="13" customFormat="false" ht="15" hidden="false" customHeight="false" outlineLevel="0" collapsed="false">
      <c r="A13" s="3" t="s">
        <v>2</v>
      </c>
      <c r="B13" s="3" t="s">
        <v>34</v>
      </c>
      <c r="C13" s="3" t="s">
        <v>35</v>
      </c>
      <c r="D13" s="3" t="s">
        <v>36</v>
      </c>
      <c r="E13" s="3" t="s">
        <v>37</v>
      </c>
    </row>
    <row r="14" customFormat="false" ht="15" hidden="false" customHeight="false" outlineLevel="0" collapsed="false">
      <c r="A14" s="12" t="s">
        <v>11</v>
      </c>
      <c r="B14" s="13" t="n">
        <f aca="false">Data!F5/Data!F9</f>
        <v>0.84551724137931</v>
      </c>
      <c r="C14" s="13" t="n">
        <f aca="false">Data!G5/Data!G9</f>
        <v>0.768412438625205</v>
      </c>
      <c r="D14" s="13" t="n">
        <f aca="false">Data!H5/Data!H9</f>
        <v>0.769797421731123</v>
      </c>
      <c r="E14" s="13" t="n">
        <f aca="false">Data!I5/Data!I9</f>
        <v>0.758782201405152</v>
      </c>
    </row>
    <row r="15" customFormat="false" ht="15" hidden="false" customHeight="false" outlineLevel="0" collapsed="false">
      <c r="A15" s="12" t="s">
        <v>12</v>
      </c>
      <c r="B15" s="13" t="n">
        <f aca="false">Data!F6/Data!F9</f>
        <v>0.0358620689655172</v>
      </c>
      <c r="C15" s="13" t="n">
        <f aca="false">Data!G6/Data!G9</f>
        <v>0.10556464811784</v>
      </c>
      <c r="D15" s="13" t="n">
        <f aca="false">Data!H6/Data!H9</f>
        <v>0.0828729281767956</v>
      </c>
      <c r="E15" s="13" t="n">
        <f aca="false">Data!I6/Data!I9</f>
        <v>0.137002341920375</v>
      </c>
    </row>
    <row r="16" customFormat="false" ht="15" hidden="false" customHeight="false" outlineLevel="0" collapsed="false">
      <c r="A16" s="12" t="s">
        <v>13</v>
      </c>
      <c r="B16" s="13" t="n">
        <f aca="false">Data!F7/Data!F9</f>
        <v>0.0531034482758621</v>
      </c>
      <c r="C16" s="13" t="n">
        <f aca="false">Data!G7/Data!G9</f>
        <v>0.0392798690671031</v>
      </c>
      <c r="D16" s="13" t="n">
        <f aca="false">Data!H7/Data!H9</f>
        <v>0.0534069981583794</v>
      </c>
      <c r="E16" s="13" t="n">
        <f aca="false">Data!I7/Data!I9</f>
        <v>0.0304449648711944</v>
      </c>
    </row>
    <row r="17" customFormat="false" ht="15" hidden="false" customHeight="false" outlineLevel="0" collapsed="false">
      <c r="A17" s="12" t="s">
        <v>14</v>
      </c>
      <c r="B17" s="13" t="n">
        <f aca="false">Data!F8/Data!F9</f>
        <v>0.0655172413793104</v>
      </c>
      <c r="C17" s="13" t="n">
        <f aca="false">Data!G8/Data!G9</f>
        <v>0.0867430441898527</v>
      </c>
      <c r="D17" s="13" t="n">
        <f aca="false">Data!H8/Data!H9</f>
        <v>0.0939226519337017</v>
      </c>
      <c r="E17" s="13" t="n">
        <f aca="false">Data!I8/Data!I9</f>
        <v>0.0737704918032787</v>
      </c>
    </row>
    <row r="18" customFormat="false" ht="15" hidden="false" customHeight="false" outlineLevel="0" collapsed="false">
      <c r="A18" s="6" t="s">
        <v>23</v>
      </c>
      <c r="B18" s="14" t="n">
        <f aca="false">SUM(B14:B17)</f>
        <v>1</v>
      </c>
      <c r="C18" s="14" t="n">
        <f aca="false">SUM(C14:C17)</f>
        <v>1</v>
      </c>
      <c r="D18" s="14" t="n">
        <f aca="false">SUM(D14:D17)</f>
        <v>1</v>
      </c>
      <c r="E18" s="14" t="n">
        <f aca="false">SUM(E14:E17)</f>
        <v>1</v>
      </c>
    </row>
    <row r="21" customFormat="false" ht="15" hidden="false" customHeight="false" outlineLevel="0" collapsed="false">
      <c r="A21" s="2" t="s">
        <v>39</v>
      </c>
    </row>
    <row r="22" customFormat="false" ht="15" hidden="false" customHeight="false" outlineLevel="0" collapsed="false">
      <c r="A22" s="3" t="s">
        <v>2</v>
      </c>
      <c r="B22" s="3" t="s">
        <v>34</v>
      </c>
      <c r="C22" s="3" t="s">
        <v>35</v>
      </c>
      <c r="D22" s="3" t="s">
        <v>36</v>
      </c>
      <c r="E22" s="3" t="s">
        <v>37</v>
      </c>
    </row>
    <row r="23" customFormat="false" ht="15" hidden="false" customHeight="false" outlineLevel="0" collapsed="false">
      <c r="A23" s="12" t="s">
        <v>11</v>
      </c>
      <c r="B23" s="13" t="n">
        <f aca="false">Data!F5/Data!B5</f>
        <v>0.231626676742868</v>
      </c>
      <c r="C23" s="13" t="n">
        <f aca="false">Data!G5/Data!C5</f>
        <v>0.197268907563025</v>
      </c>
      <c r="D23" s="13" t="n">
        <f aca="false">Data!H5/Data!D5</f>
        <v>0.188118811881188</v>
      </c>
      <c r="E23" s="13" t="n">
        <f aca="false">Data!I5/Data!E5</f>
        <v>0.208830164357074</v>
      </c>
    </row>
    <row r="24" customFormat="false" ht="15" hidden="false" customHeight="false" outlineLevel="0" collapsed="false">
      <c r="A24" s="12" t="s">
        <v>12</v>
      </c>
      <c r="B24" s="13" t="n">
        <f aca="false">Data!F6/Data!B6</f>
        <v>0.122065727699531</v>
      </c>
      <c r="C24" s="13" t="n">
        <f aca="false">Data!G6/Data!C6</f>
        <v>0.214642262895175</v>
      </c>
      <c r="D24" s="13" t="n">
        <f aca="false">Data!H6/Data!D6</f>
        <v>0.155709342560554</v>
      </c>
      <c r="E24" s="13" t="n">
        <f aca="false">Data!I6/Data!E6</f>
        <v>0.243243243243243</v>
      </c>
    </row>
    <row r="25" customFormat="false" ht="15" hidden="false" customHeight="false" outlineLevel="0" collapsed="false">
      <c r="A25" s="12" t="s">
        <v>13</v>
      </c>
      <c r="B25" s="13" t="n">
        <f aca="false">Data!F7/Data!B7</f>
        <v>0.118461538461538</v>
      </c>
      <c r="C25" s="13" t="n">
        <f aca="false">Data!G7/Data!C7</f>
        <v>0.0704845814977974</v>
      </c>
      <c r="D25" s="13" t="n">
        <f aca="false">Data!H7/Data!D7</f>
        <v>0.0863095238095238</v>
      </c>
      <c r="E25" s="13" t="n">
        <f aca="false">Data!I7/Data!E7</f>
        <v>0.065</v>
      </c>
    </row>
    <row r="26" customFormat="false" ht="15" hidden="false" customHeight="false" outlineLevel="0" collapsed="false">
      <c r="A26" s="12" t="s">
        <v>14</v>
      </c>
      <c r="B26" s="13" t="n">
        <f aca="false">Data!F8/Data!B8</f>
        <v>0.387755102040816</v>
      </c>
      <c r="C26" s="13" t="n">
        <f aca="false">Data!G8/Data!C8</f>
        <v>0.389705882352941</v>
      </c>
      <c r="D26" s="13" t="n">
        <f aca="false">Data!H8/Data!D8</f>
        <v>0.389312977099237</v>
      </c>
      <c r="E26" s="13" t="n">
        <f aca="false">Data!I8/Data!E8</f>
        <v>0.417218543046358</v>
      </c>
    </row>
    <row r="29" customFormat="false" ht="15" hidden="false" customHeight="false" outlineLevel="0" collapsed="false">
      <c r="A29" s="2" t="s">
        <v>40</v>
      </c>
    </row>
    <row r="30" customFormat="false" ht="15" hidden="false" customHeight="false" outlineLevel="0" collapsed="false">
      <c r="A30" s="3" t="s">
        <v>2</v>
      </c>
      <c r="B30" s="3" t="s">
        <v>34</v>
      </c>
      <c r="C30" s="3" t="s">
        <v>35</v>
      </c>
      <c r="D30" s="3" t="s">
        <v>36</v>
      </c>
      <c r="E30" s="3" t="s">
        <v>37</v>
      </c>
    </row>
    <row r="31" customFormat="false" ht="15" hidden="false" customHeight="false" outlineLevel="0" collapsed="false">
      <c r="A31" s="12" t="s">
        <v>41</v>
      </c>
      <c r="B31" s="13" t="n">
        <f aca="false">ABS(Data!F10)/Data!F9</f>
        <v>0.298620689655172</v>
      </c>
      <c r="C31" s="13" t="n">
        <f aca="false">ABS(Data!G10)/Data!G9</f>
        <v>0.361702127659575</v>
      </c>
      <c r="D31" s="13" t="n">
        <f aca="false">ABS(Data!H10)/Data!H9</f>
        <v>0.397790055248619</v>
      </c>
      <c r="E31" s="13" t="n">
        <f aca="false">ABS(Data!I10)/Data!I9</f>
        <v>0.334894613583138</v>
      </c>
    </row>
    <row r="34" customFormat="false" ht="15" hidden="false" customHeight="false" outlineLevel="0" collapsed="false">
      <c r="A34" s="2" t="s">
        <v>42</v>
      </c>
    </row>
    <row r="35" customFormat="false" ht="15" hidden="false" customHeight="false" outlineLevel="0" collapsed="false">
      <c r="A35" s="3" t="s">
        <v>2</v>
      </c>
      <c r="B35" s="3" t="s">
        <v>34</v>
      </c>
      <c r="C35" s="3" t="s">
        <v>35</v>
      </c>
    </row>
    <row r="36" customFormat="false" ht="15" hidden="false" customHeight="false" outlineLevel="0" collapsed="false">
      <c r="A36" s="12" t="s">
        <v>11</v>
      </c>
      <c r="B36" s="15" t="n">
        <f aca="false">Data!B5*1000/Data!B17</f>
        <v>377.53209700428</v>
      </c>
      <c r="C36" s="15" t="n">
        <f aca="false">Data!C5*1000/Data!C17</f>
        <v>316.489361702128</v>
      </c>
    </row>
    <row r="37" customFormat="false" ht="15" hidden="false" customHeight="false" outlineLevel="0" collapsed="false">
      <c r="A37" s="12" t="s">
        <v>12</v>
      </c>
      <c r="B37" s="15" t="n">
        <f aca="false">Data!B6*1000/Data!B18</f>
        <v>357.983193277311</v>
      </c>
      <c r="C37" s="15" t="n">
        <f aca="false">Data!C6*1000/Data!C18</f>
        <v>473.228346456693</v>
      </c>
    </row>
    <row r="38" customFormat="false" ht="15" hidden="false" customHeight="false" outlineLevel="0" collapsed="false">
      <c r="A38" s="12" t="s">
        <v>13</v>
      </c>
      <c r="B38" s="15" t="n">
        <f aca="false">Data!B7*1000/Data!B19</f>
        <v>150.462962962963</v>
      </c>
      <c r="C38" s="15" t="n">
        <f aca="false">Data!C7*1000/Data!C19</f>
        <v>149.015317286652</v>
      </c>
    </row>
    <row r="39" customFormat="false" ht="15" hidden="false" customHeight="false" outlineLevel="0" collapsed="false">
      <c r="A39" s="12" t="s">
        <v>14</v>
      </c>
      <c r="B39" s="15" t="n">
        <f aca="false">Data!B8*1000/Data!B20</f>
        <v>163.333333333333</v>
      </c>
      <c r="C39" s="15" t="n">
        <f aca="false">Data!C8*1000/Data!C20</f>
        <v>162.874251497006</v>
      </c>
    </row>
    <row r="40" customFormat="false" ht="15" hidden="false" customHeight="false" outlineLevel="0" collapsed="false">
      <c r="A40" s="6" t="s">
        <v>43</v>
      </c>
      <c r="B40" s="7" t="n">
        <f aca="false">Data!B9*1000/Data!B21</f>
        <v>314.503090822634</v>
      </c>
      <c r="C40" s="7" t="n">
        <f aca="false">Data!C9*1000/Data!C21</f>
        <v>280</v>
      </c>
    </row>
    <row r="43" customFormat="false" ht="15" hidden="false" customHeight="false" outlineLevel="0" collapsed="false">
      <c r="A43" s="2" t="s">
        <v>44</v>
      </c>
    </row>
    <row r="44" customFormat="false" ht="15" hidden="false" customHeight="false" outlineLevel="0" collapsed="false">
      <c r="A44" s="3" t="s">
        <v>2</v>
      </c>
      <c r="B44" s="3" t="s">
        <v>34</v>
      </c>
      <c r="C44" s="3" t="s">
        <v>35</v>
      </c>
    </row>
    <row r="45" customFormat="false" ht="15" hidden="false" customHeight="false" outlineLevel="0" collapsed="false">
      <c r="A45" s="12" t="s">
        <v>11</v>
      </c>
      <c r="B45" s="15" t="n">
        <f aca="false">Data!F5*1000/Data!B17</f>
        <v>87.4465049928673</v>
      </c>
      <c r="C45" s="15" t="n">
        <f aca="false">Data!G5*1000/Data!C17</f>
        <v>62.4335106382979</v>
      </c>
    </row>
    <row r="46" customFormat="false" ht="15" hidden="false" customHeight="false" outlineLevel="0" collapsed="false">
      <c r="A46" s="12" t="s">
        <v>12</v>
      </c>
      <c r="B46" s="15" t="n">
        <f aca="false">Data!F6*1000/Data!B18</f>
        <v>43.6974789915966</v>
      </c>
      <c r="C46" s="15" t="n">
        <f aca="false">Data!G6*1000/Data!C18</f>
        <v>101.574803149606</v>
      </c>
    </row>
    <row r="47" customFormat="false" ht="15" hidden="false" customHeight="false" outlineLevel="0" collapsed="false">
      <c r="A47" s="12" t="s">
        <v>13</v>
      </c>
      <c r="B47" s="15" t="n">
        <f aca="false">Data!F7*1000/Data!B19</f>
        <v>17.8240740740741</v>
      </c>
      <c r="C47" s="15" t="n">
        <f aca="false">Data!G7*1000/Data!C19</f>
        <v>10.5032822757112</v>
      </c>
    </row>
    <row r="48" customFormat="false" ht="15" hidden="false" customHeight="false" outlineLevel="0" collapsed="false">
      <c r="A48" s="12" t="s">
        <v>14</v>
      </c>
      <c r="B48" s="15" t="n">
        <f aca="false">Data!F8*1000/Data!B20</f>
        <v>63.3333333333333</v>
      </c>
      <c r="C48" s="15" t="n">
        <f aca="false">Data!G8*1000/Data!C20</f>
        <v>63.4730538922156</v>
      </c>
    </row>
    <row r="49" customFormat="false" ht="15" hidden="false" customHeight="false" outlineLevel="0" collapsed="false">
      <c r="A49" s="6" t="s">
        <v>43</v>
      </c>
      <c r="B49" s="7" t="n">
        <f aca="false">Data!F9*1000/Data!B21</f>
        <v>68.9491203043272</v>
      </c>
      <c r="C49" s="7" t="n">
        <f aca="false">Data!G9*1000/Data!C21</f>
        <v>54.1906873614191</v>
      </c>
    </row>
    <row r="52" customFormat="false" ht="15" hidden="false" customHeight="false" outlineLevel="0" collapsed="false">
      <c r="A52" s="2" t="s">
        <v>45</v>
      </c>
    </row>
    <row r="53" customFormat="false" ht="15" hidden="false" customHeight="false" outlineLevel="0" collapsed="false">
      <c r="A53" s="3" t="s">
        <v>2</v>
      </c>
      <c r="B53" s="3" t="s">
        <v>34</v>
      </c>
      <c r="C53" s="3" t="s">
        <v>35</v>
      </c>
    </row>
    <row r="54" customFormat="false" ht="15" hidden="false" customHeight="false" outlineLevel="0" collapsed="false">
      <c r="A54" s="12" t="s">
        <v>27</v>
      </c>
      <c r="B54" s="13" t="n">
        <f aca="false">Data!B27/Data!B30</f>
        <v>0.732385848200786</v>
      </c>
      <c r="C54" s="13" t="n">
        <f aca="false">Data!C27/Data!C30</f>
        <v>0.743427304402914</v>
      </c>
    </row>
    <row r="55" customFormat="false" ht="15" hidden="false" customHeight="false" outlineLevel="0" collapsed="false">
      <c r="A55" s="12" t="s">
        <v>28</v>
      </c>
      <c r="B55" s="13" t="n">
        <f aca="false">Data!B28/Data!B30</f>
        <v>0.0433928031448443</v>
      </c>
      <c r="C55" s="13" t="n">
        <f aca="false">Data!C28/Data!C30</f>
        <v>0.0370605004751346</v>
      </c>
    </row>
    <row r="56" customFormat="false" ht="15" hidden="false" customHeight="false" outlineLevel="0" collapsed="false">
      <c r="A56" s="12" t="s">
        <v>29</v>
      </c>
      <c r="B56" s="13" t="n">
        <f aca="false">Data!B29/Data!B30</f>
        <v>0.22422134865437</v>
      </c>
      <c r="C56" s="13" t="n">
        <f aca="false">Data!C29/Data!C30</f>
        <v>0.219512195121951</v>
      </c>
    </row>
    <row r="57" customFormat="false" ht="15" hidden="false" customHeight="false" outlineLevel="0" collapsed="false">
      <c r="A57" s="6" t="s">
        <v>23</v>
      </c>
      <c r="B57" s="14" t="n">
        <f aca="false">SUM(B54:B56)</f>
        <v>1</v>
      </c>
      <c r="C57" s="14" t="n">
        <f aca="false">SUM(C54:C56)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2026-09-25T07:51:20Z</dcterms:created>
  <dc:creator>openpyxl</dc:creator>
  <dc:description/>
  <dc:language>en-US</dc:language>
  <cp:lastModifiedBy/>
  <dcterms:modified xsi:type="dcterms:W3CDTF">2026-09-25T07:51:59Z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