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  <sheet name="Regress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<sst xmlns="http://schemas.openxmlformats.org/spreadsheetml/2006/main" count="451" uniqueCount="112">
  <si>
    <t xml:space="preserve">Clarkson PLC (LSE: CKN) — Correlation &amp; Regression: Segment Revenue vs Operating Profit</t>
  </si>
  <si>
    <t xml:space="preserve">Applies the correlation &amp; simple-regression formulas from EXC 3672 Analyses of Financial Data (sample correlation r, OLS beta_hat/alpha_hat, R^2, standard error s_b, t-test, 95% CI) to the segment Revenue/Operating Profit panel, formalizing the flow-through-margin analysis in Clarksons_Margin_BalanceSheet_Analysis.docx §3.4.</t>
  </si>
  <si>
    <t xml:space="preserve">1. Per-segment flow-through margin (beta_hat) — Operating Profit ~ Revenue, n=4 each</t>
  </si>
  <si>
    <t xml:space="preserve">Segment</t>
  </si>
  <si>
    <t xml:space="preserve">r</t>
  </si>
  <si>
    <t xml:space="preserve">R²</t>
  </si>
  <si>
    <t xml:space="preserve">beta_hat (flow-through)</t>
  </si>
  <si>
    <t xml:space="preserve">95% CI</t>
  </si>
  <si>
    <t xml:space="preserve">p-value</t>
  </si>
  <si>
    <t xml:space="preserve">Result</t>
  </si>
  <si>
    <t xml:space="preserve">Broking</t>
  </si>
  <si>
    <t xml:space="preserve">p&lt;0.05, significant</t>
  </si>
  <si>
    <t xml:space="preserve">Financial</t>
  </si>
  <si>
    <t xml:space="preserve">not significant</t>
  </si>
  <si>
    <t xml:space="preserve">Support</t>
  </si>
  <si>
    <t xml:space="preserve">Research</t>
  </si>
  <si>
    <t xml:space="preserve">Reading: beta_hat is the marginal £ of operating profit generated (or lost) per £1 of revenue change, estimated across all 4 available periods per segment (not a single two-point ratio). Broking and Research are statistically significant at 5%; Financial and Support are not (df=2, too few periods to separate a real slope from noise at conventional confidence — see Limitations).</t>
  </si>
  <si>
    <t xml:space="preserve">2. Does segment SIZE predict MARGIN? (cross-sectional, n=4) — formalizes the earlier qualitative note</t>
  </si>
  <si>
    <t xml:space="preserve">r = -0.136, R² = 0.019, p = 0.86 (NOT significant). The earlier informal observation that "margin ranking is the exact opposite of revenue-size ranking" is a true statement about the ORDERING of 4 segments, but the underlying linear correlation is weak and statistically indistinguishable from zero — Research's very high margin is doing most of the work, not a general size-margin relationship. With only 4 segments (df=2), almost any ranking pattern can appear "opposite" by chance; the r/p-value is the more defensible claim than the ranking alone.</t>
  </si>
  <si>
    <t xml:space="preserve">3. Existing two-point flow-through ratio vs regression estimate (Broking)</t>
  </si>
  <si>
    <t xml:space="preserve">Method</t>
  </si>
  <si>
    <t xml:space="preserve">Estimate</t>
  </si>
  <si>
    <t xml:space="preserve">Basis</t>
  </si>
  <si>
    <t xml:space="preserve">Old: FY24→FY25 ratio (revenue decline)</t>
  </si>
  <si>
    <t xml:space="preserve">53.8%</t>
  </si>
  <si>
    <t xml:space="preserve">single pair of points, no uncertainty measure</t>
  </si>
  <si>
    <t xml:space="preserve">Old: H1'25→H1'26 ratio (revenue increase)</t>
  </si>
  <si>
    <t xml:space="preserve">26.1%</t>
  </si>
  <si>
    <t xml:space="preserve">New: OLS regression (all 4 periods)</t>
  </si>
  <si>
    <t xml:space="preserve">24.1%  [95% CI: 10.0% - 38.2%]</t>
  </si>
  <si>
    <t xml:space="preserve">uses every available data point + quantifies uncertainty</t>
  </si>
  <si>
    <t xml:space="preserve">The two old point-to-point ratios disagree by a factor of 2x (53.8% vs 26.1%) purely because they used different pairs of periods — neither is "wrong", but neither is reliable alone. The regression estimate pools all 4 periods into one slope and reports how uncertain that slope is; its CI [10.0%, 38.2%] comfortably spans both old ratios, so the two are consistent with (not contradicting) the regression once sampling uncertainty is accounted for — they were never really two different numbers, just two noisy draws from the same underlying relationship.</t>
  </si>
  <si>
    <t xml:space="preserve">Limitations</t>
  </si>
  <si>
    <t xml:space="preserve">- Per-segment regressions use n=4 (df=2): with so few points, standard errors are wide and non-significant results (Financial, Support) mean "cannot rule out no relationship", not "no relationship" — this is exactly the small-sample-size problem the course covers in Week 5 ("what affects the accuracy of beta_hat").
- The pooled regression (n=16) pools all 4 segments together; its very high R²=0.979 is driven mostly by the large BETWEEN-segment differences in scale (Broking is ~15-20x the size of Research), not by how each segment's profit moves period to period. It should not be read as "a 1% revenue change anywhere in the group produces a 21.6% profit change" — that number is dominated by cross-segment size, not within-segment dynamics.
- FY figures (FY2024, FY2025) and half-year figures (H1 2025, H1 2026) are mixed in the same regression; they are not independent (FY = H1 + H2 of the same year), which understates true variability slightly.
- FY2024/FY2025 are audited; H1 2025/H1 2026 are reviewed, not audited (see Clarksons_Margin_BalanceSheet_Analysis.docx §5).
- OLS assumes one constant slope across both revenue increases and decreases; the old ratios hint at possible cost stickiness (costs falling less than they rise) which a single linear beta cannot capture with only 4 points.</t>
  </si>
  <si>
    <t xml:space="preserve">Clarkson PLC (LSE: CKN) — Correlation &amp; Regression Analysis: Source Data</t>
  </si>
  <si>
    <t xml:space="preserve">Segment Revenue &amp; Operating Profit panel, same figures as Clarksons_Operating_Profit_Structure.xlsx "Data" sheet. Source: Clarkson PLC 2025 Annual Report Note 4 "Segmental information" (FY2024/FY2025, audited); Interim Results Announcement 2026 Note 3 "Segmental information" (H1 2025/H1 2026, reviewed not audited).</t>
  </si>
  <si>
    <t xml:space="preserve">Period</t>
  </si>
  <si>
    <t xml:space="preserve">Period Type</t>
  </si>
  <si>
    <t xml:space="preserve">Revenue (£m)</t>
  </si>
  <si>
    <t xml:space="preserve">Op. Profit (£m)</t>
  </si>
  <si>
    <t xml:space="preserve">Op. Margin (%)</t>
  </si>
  <si>
    <t xml:space="preserve">FY2024</t>
  </si>
  <si>
    <t xml:space="preserve">FY</t>
  </si>
  <si>
    <t xml:space="preserve">FY2025</t>
  </si>
  <si>
    <t xml:space="preserve">H1 2025</t>
  </si>
  <si>
    <t xml:space="preserve">H1</t>
  </si>
  <si>
    <t xml:space="preserve">H1 2026</t>
  </si>
  <si>
    <t xml:space="preserve">Segment Averages (across the 4 periods) — used for the size-vs-margin cross-sectional test</t>
  </si>
  <si>
    <t xml:space="preserve">Avg Revenue (£m)</t>
  </si>
  <si>
    <t xml:space="preserve">Avg Op. Margin (%)</t>
  </si>
  <si>
    <t xml:space="preserve">Clarkson PLC — Correlation &amp; Simple Regression (AoFD course formulas, BI Norwegian Business School)</t>
  </si>
  <si>
    <t xml:space="preserve">Every statistic below is built from raw sums exactly as taught in Week 2 (sample correlation r), Week 4 (OLS estimators alpha_hat, beta_hat, R^2) and Week 5 (standard error s_b, t-test of H0: beta=0, 95% CI) of EXC 3672 Analyses of Financial Data. Cross-checked against Excel's built-in CORREL/SLOPE/INTERCEPT/RSQ/STEYX.</t>
  </si>
  <si>
    <t xml:space="preserve">Broking — Operating Profit ~ Revenue  (n=4 periods, df=2)</t>
  </si>
  <si>
    <t xml:space="preserve">Op.Profit (£m)</t>
  </si>
  <si>
    <t xml:space="preserve">Xi-Xbar</t>
  </si>
  <si>
    <t xml:space="preserve">Yi-Ybar</t>
  </si>
  <si>
    <t xml:space="preserve">(Xi-Xbar)(Yi-Ybar)</t>
  </si>
  <si>
    <t xml:space="preserve">(Xi-Xbar)^2</t>
  </si>
  <si>
    <t xml:space="preserve">(Yi-Ybar)^2</t>
  </si>
  <si>
    <t xml:space="preserve">Yhat_i</t>
  </si>
  <si>
    <t xml:space="preserve">Residual</t>
  </si>
  <si>
    <t xml:space="preserve">Residual^2</t>
  </si>
  <si>
    <t xml:space="preserve">Sum</t>
  </si>
  <si>
    <t xml:space="preserve">Regression results (Week 4-5 formulas)</t>
  </si>
  <si>
    <t xml:space="preserve">n</t>
  </si>
  <si>
    <t xml:space="preserve">COUNT(X)</t>
  </si>
  <si>
    <t xml:space="preserve">Xbar</t>
  </si>
  <si>
    <t xml:space="preserve">AVERAGE(X)</t>
  </si>
  <si>
    <t xml:space="preserve">Ybar</t>
  </si>
  <si>
    <t xml:space="preserve">AVERAGE(Y)</t>
  </si>
  <si>
    <t xml:space="preserve">Sxx</t>
  </si>
  <si>
    <t xml:space="preserve">sum(Xi-Xbar)^2</t>
  </si>
  <si>
    <t xml:space="preserve">Sxy</t>
  </si>
  <si>
    <t xml:space="preserve">sum(Xi-Xbar)(Yi-Ybar)</t>
  </si>
  <si>
    <t xml:space="preserve">Syy</t>
  </si>
  <si>
    <t xml:space="preserve">sum(Yi-Ybar)^2</t>
  </si>
  <si>
    <t xml:space="preserve">alpha_hat</t>
  </si>
  <si>
    <t xml:space="preserve">Ybar-beta_hat*Xbar</t>
  </si>
  <si>
    <t xml:space="preserve">beta_hat</t>
  </si>
  <si>
    <t xml:space="preserve">Sxy/Sxx  &lt;- OLS slope (Week 4 slide 12)</t>
  </si>
  <si>
    <t xml:space="preserve">TSS</t>
  </si>
  <si>
    <t xml:space="preserve">SSR</t>
  </si>
  <si>
    <t xml:space="preserve">sum(residual^2)</t>
  </si>
  <si>
    <t xml:space="preserve">R2</t>
  </si>
  <si>
    <t xml:space="preserve">1-SSR/TSS (Week 4 slide 16)</t>
  </si>
  <si>
    <t xml:space="preserve">Sxy/SQRT(Sxx*Syy) (Week 2 slide 20)</t>
  </si>
  <si>
    <t xml:space="preserve">s_b</t>
  </si>
  <si>
    <t xml:space="preserve">SQRT(SSR/((n-2)*Sxx)) (Week 5 slide 10)</t>
  </si>
  <si>
    <t xml:space="preserve">df</t>
  </si>
  <si>
    <t xml:space="preserve">n-2</t>
  </si>
  <si>
    <t xml:space="preserve">t_stat</t>
  </si>
  <si>
    <t xml:space="preserve">beta_hat/s_b  (H0: beta=0)</t>
  </si>
  <si>
    <t xml:space="preserve">p_value</t>
  </si>
  <si>
    <t xml:space="preserve">TDIST(|t|,df,2-tail)</t>
  </si>
  <si>
    <t xml:space="preserve">t_crit</t>
  </si>
  <si>
    <t xml:space="preserve">TINV(0.05,df), 95% CI</t>
  </si>
  <si>
    <t xml:space="preserve">CI_lo</t>
  </si>
  <si>
    <t xml:space="preserve">beta_hat - t_crit*s_b</t>
  </si>
  <si>
    <t xml:space="preserve">CI_hi</t>
  </si>
  <si>
    <t xml:space="preserve">beta_hat + t_crit*s_b</t>
  </si>
  <si>
    <t xml:space="preserve">Cross-check (Excel built-in functions)</t>
  </si>
  <si>
    <t xml:space="preserve">r_check(CORREL)</t>
  </si>
  <si>
    <t xml:space="preserve">beta_check(SLOPE)</t>
  </si>
  <si>
    <t xml:space="preserve">alpha_check(INTERCEPT)</t>
  </si>
  <si>
    <t xml:space="preserve">R2_check(RSQ)</t>
  </si>
  <si>
    <t xml:space="preserve">s_b_check(STEYX)</t>
  </si>
  <si>
    <t xml:space="preserve">Financial — Operating Profit ~ Revenue  (n=4 periods, df=2)</t>
  </si>
  <si>
    <t xml:space="preserve">Support — Operating Profit ~ Revenue  (n=4 periods, df=2)</t>
  </si>
  <si>
    <t xml:space="preserve">Research — Operating Profit ~ Revenue  (n=4 periods, df=2)</t>
  </si>
  <si>
    <t xml:space="preserve">ALL SEGMENTS POOLED — Operating Profit ~ Revenue  (n=16, df=14)</t>
  </si>
  <si>
    <t xml:space="preserve">Segment SIZE vs MARGIN (cross-sectional avg, n=4, df=2)</t>
  </si>
  <si>
    <t xml:space="preserve">Avg Margin (%)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</si>
</sst>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00;\(0.0000\);\-"/>
    <numFmt numFmtId="167" formatCode="0.0000"/>
    <numFmt numFmtId="168" formatCode="#,##0.0;\(#,##0.0\);\-"/>
    <numFmt numFmtId="169" formatCode="0.0%;\(0.0%\);\-"/>
    <numFmt numFmtId="170" formatCode="0"/>
    <numFmt numFmtId="171" formatCode="0.00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3F3F3"/>
      </patternFill>
    </fill>
    <fill>
      <patternFill patternType="solid">
        <fgColor rgb="FFF3F3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3F3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48240</xdr:rowOff>
    </xdr:from>
    <xdr:to>
      <xdr:col>5</xdr:col>
      <xdr:colOff>547560</xdr:colOff>
      <xdr:row>50</xdr:row>
      <xdr:rowOff>9360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6706080"/>
          <a:ext cx="5904720" cy="472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48240</xdr:rowOff>
    </xdr:from>
    <xdr:to>
      <xdr:col>4</xdr:col>
      <xdr:colOff>623880</xdr:colOff>
      <xdr:row>70</xdr:row>
      <xdr:rowOff>104760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11320" y="11849760"/>
          <a:ext cx="4571280" cy="348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48240</xdr:rowOff>
    </xdr:from>
    <xdr:to>
      <xdr:col>4</xdr:col>
      <xdr:colOff>623880</xdr:colOff>
      <xdr:row>92</xdr:row>
      <xdr:rowOff>104760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11320" y="16040880"/>
          <a:ext cx="4571280" cy="3485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6" min="5" style="1" width="20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10" min="9" style="1" width="10"/>
  </cols>
  <sheetData>
    <row r="2" customFormat="false" ht="17.25" hidden="false" customHeight="true" outlineLevel="0" collapsed="false">
      <c r="B2" s="2" t="s">
        <v>0</v>
      </c>
    </row>
    <row r="3" customFormat="false" ht="30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B5" s="4" t="s">
        <v>2</v>
      </c>
    </row>
    <row r="6" customFormat="false" ht="23.2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</row>
    <row r="7" customFormat="false" ht="15" hidden="false" customHeight="true" outlineLevel="0" collapsed="false">
      <c r="B7" s="6" t="s">
        <v>10</v>
      </c>
      <c r="C7" s="7" t="n">
        <f aca="false">Regression!B24</f>
        <v>0.982071993723695</v>
      </c>
      <c r="D7" s="7" t="n">
        <f aca="false">Regression!B23</f>
        <v>0.964465400856433</v>
      </c>
      <c r="E7" s="8" t="n">
        <f aca="false">Regression!B20</f>
        <v>0.241364598330245</v>
      </c>
      <c r="F7" s="9" t="str">
        <f aca="false">Regression!B30&amp;" - "&amp;Regression!B31</f>
        <v>0.10041064769683 - 0.38231854896366</v>
      </c>
      <c r="G7" s="9" t="n">
        <f aca="false">Regression!B28</f>
        <v>0.0179280062763053</v>
      </c>
      <c r="H7" s="10" t="s">
        <v>11</v>
      </c>
    </row>
    <row r="8" customFormat="false" ht="15" hidden="false" customHeight="true" outlineLevel="0" collapsed="false">
      <c r="B8" s="6" t="s">
        <v>12</v>
      </c>
      <c r="C8" s="7" t="n">
        <f aca="false">Regression!B61</f>
        <v>0.88271760767005</v>
      </c>
      <c r="D8" s="7" t="n">
        <f aca="false">Regression!B60</f>
        <v>0.779190374890735</v>
      </c>
      <c r="E8" s="8" t="n">
        <f aca="false">Regression!B57</f>
        <v>0.295885627303795</v>
      </c>
      <c r="F8" s="9" t="str">
        <f aca="false">Regression!B67&amp;" - "&amp;Regression!B68</f>
        <v>-0.18333155116352 - 0.775102805771111</v>
      </c>
      <c r="G8" s="9" t="n">
        <f aca="false">Regression!B65</f>
        <v>0.117282392329951</v>
      </c>
      <c r="H8" s="11" t="s">
        <v>13</v>
      </c>
    </row>
    <row r="9" customFormat="false" ht="15" hidden="false" customHeight="true" outlineLevel="0" collapsed="false">
      <c r="B9" s="6" t="s">
        <v>14</v>
      </c>
      <c r="C9" s="7" t="n">
        <f aca="false">Regression!B98</f>
        <v>0.805080956967207</v>
      </c>
      <c r="D9" s="7" t="n">
        <f aca="false">Regression!B97</f>
        <v>0.648155347271235</v>
      </c>
      <c r="E9" s="8" t="n">
        <f aca="false">Regression!B94</f>
        <v>0.108387181817932</v>
      </c>
      <c r="F9" s="9" t="str">
        <f aca="false">Regression!B104&amp;" - "&amp;Regression!B105</f>
        <v>-0.13457302306748 - 0.351347386703344</v>
      </c>
      <c r="G9" s="9" t="n">
        <f aca="false">Regression!B102</f>
        <v>0.194919043032793</v>
      </c>
      <c r="H9" s="11" t="s">
        <v>13</v>
      </c>
    </row>
    <row r="10" customFormat="false" ht="15" hidden="false" customHeight="true" outlineLevel="0" collapsed="false">
      <c r="B10" s="6" t="s">
        <v>15</v>
      </c>
      <c r="C10" s="7" t="n">
        <f aca="false">Regression!B135</f>
        <v>0.997324925626391</v>
      </c>
      <c r="D10" s="7" t="n">
        <f aca="false">Regression!B134</f>
        <v>0.994657007275687</v>
      </c>
      <c r="E10" s="8" t="n">
        <f aca="false">Regression!B131</f>
        <v>0.374354156881165</v>
      </c>
      <c r="F10" s="9" t="str">
        <f aca="false">Regression!B141&amp;" - "&amp;Regression!B142</f>
        <v>0.290878551846801 - 0.457829761915529</v>
      </c>
      <c r="G10" s="9" t="n">
        <f aca="false">Regression!B139</f>
        <v>0.0026750743736088</v>
      </c>
      <c r="H10" s="10" t="s">
        <v>11</v>
      </c>
    </row>
    <row r="12" customFormat="false" ht="43.5" hidden="false" customHeight="true" outlineLevel="0" collapsed="false">
      <c r="B12" s="3" t="s">
        <v>16</v>
      </c>
      <c r="C12" s="3"/>
      <c r="D12" s="3"/>
      <c r="E12" s="3"/>
      <c r="F12" s="3"/>
      <c r="G12" s="3"/>
      <c r="H12" s="3"/>
      <c r="I12" s="3"/>
      <c r="J12" s="3"/>
    </row>
    <row r="14" customFormat="false" ht="15" hidden="false" customHeight="true" outlineLevel="0" collapsed="false">
      <c r="B14" s="4" t="s">
        <v>17</v>
      </c>
    </row>
    <row r="15" customFormat="false" ht="69.75" hidden="false" customHeight="true" outlineLevel="0" collapsed="false">
      <c r="B15" s="12" t="s">
        <v>18</v>
      </c>
      <c r="C15" s="12"/>
      <c r="D15" s="12"/>
      <c r="E15" s="12"/>
      <c r="F15" s="12"/>
      <c r="G15" s="12"/>
      <c r="H15" s="12"/>
      <c r="I15" s="12"/>
      <c r="J15" s="12"/>
    </row>
    <row r="18" customFormat="false" ht="15" hidden="false" customHeight="true" outlineLevel="0" collapsed="false">
      <c r="B18" s="4" t="s">
        <v>19</v>
      </c>
    </row>
    <row r="19" customFormat="false" ht="15" hidden="false" customHeight="true" outlineLevel="0" collapsed="false">
      <c r="B19" s="13" t="s">
        <v>20</v>
      </c>
      <c r="C19" s="13" t="s">
        <v>21</v>
      </c>
      <c r="D19" s="13" t="s">
        <v>22</v>
      </c>
    </row>
    <row r="20" customFormat="false" ht="15" hidden="false" customHeight="true" outlineLevel="0" collapsed="false">
      <c r="B20" s="6" t="s">
        <v>23</v>
      </c>
      <c r="C20" s="6" t="s">
        <v>24</v>
      </c>
      <c r="D20" s="6" t="s">
        <v>25</v>
      </c>
    </row>
    <row r="21" customFormat="false" ht="15" hidden="false" customHeight="true" outlineLevel="0" collapsed="false">
      <c r="B21" s="6" t="s">
        <v>26</v>
      </c>
      <c r="C21" s="6" t="s">
        <v>27</v>
      </c>
      <c r="D21" s="6" t="s">
        <v>25</v>
      </c>
    </row>
    <row r="22" customFormat="false" ht="15" hidden="false" customHeight="true" outlineLevel="0" collapsed="false">
      <c r="B22" s="6" t="s">
        <v>28</v>
      </c>
      <c r="C22" s="6" t="s">
        <v>29</v>
      </c>
      <c r="D22" s="6" t="s">
        <v>30</v>
      </c>
    </row>
    <row r="24" customFormat="false" ht="55.5" hidden="false" customHeight="true" outlineLevel="0" collapsed="false">
      <c r="B24" s="3" t="s">
        <v>31</v>
      </c>
      <c r="C24" s="3"/>
      <c r="D24" s="3"/>
      <c r="E24" s="3"/>
      <c r="F24" s="3"/>
      <c r="G24" s="3"/>
      <c r="H24" s="3"/>
      <c r="I24" s="3"/>
      <c r="J24" s="3"/>
    </row>
    <row r="98" customFormat="false" ht="15" hidden="false" customHeight="true" outlineLevel="0" collapsed="false">
      <c r="B98" s="4" t="s">
        <v>32</v>
      </c>
    </row>
    <row r="99" customFormat="false" ht="189.75" hidden="false" customHeight="true" outlineLevel="0" collapsed="false">
      <c r="B99" s="14" t="s">
        <v>33</v>
      </c>
      <c r="C99" s="14"/>
      <c r="D99" s="14"/>
      <c r="E99" s="14"/>
      <c r="F99" s="14"/>
      <c r="G99" s="14"/>
      <c r="H99" s="14"/>
      <c r="I99" s="14"/>
      <c r="J99" s="14"/>
    </row>
  </sheetData>
  <mergeCells count="5">
    <mergeCell ref="B3:J3"/>
    <mergeCell ref="B12:J12"/>
    <mergeCell ref="B15:J15"/>
    <mergeCell ref="B24:J24"/>
    <mergeCell ref="B99:J9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6" min="4" style="1" width="14"/>
  </cols>
  <sheetData>
    <row r="1" customFormat="false" ht="15" hidden="false" customHeight="true" outlineLevel="0" collapsed="false">
      <c r="A1" s="15" t="s">
        <v>34</v>
      </c>
    </row>
    <row r="2" customFormat="false" ht="30" hidden="false" customHeight="true" outlineLevel="0" collapsed="false">
      <c r="A2" s="3" t="s">
        <v>35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6" t="s">
        <v>3</v>
      </c>
      <c r="B4" s="16" t="s">
        <v>36</v>
      </c>
      <c r="C4" s="16" t="s">
        <v>37</v>
      </c>
      <c r="D4" s="16" t="s">
        <v>38</v>
      </c>
      <c r="E4" s="16" t="s">
        <v>39</v>
      </c>
      <c r="F4" s="16" t="s">
        <v>40</v>
      </c>
    </row>
    <row r="5" customFormat="false" ht="15" hidden="false" customHeight="true" outlineLevel="0" collapsed="false">
      <c r="A5" s="17" t="s">
        <v>10</v>
      </c>
      <c r="B5" s="17" t="s">
        <v>41</v>
      </c>
      <c r="C5" s="17" t="s">
        <v>42</v>
      </c>
      <c r="D5" s="18" t="n">
        <v>529.3</v>
      </c>
      <c r="E5" s="18" t="n">
        <v>122.6</v>
      </c>
      <c r="F5" s="19" t="n">
        <f aca="false">E5/D5</f>
        <v>0.231626676742868</v>
      </c>
    </row>
    <row r="6" customFormat="false" ht="15" hidden="false" customHeight="true" outlineLevel="0" collapsed="false">
      <c r="A6" s="17" t="s">
        <v>10</v>
      </c>
      <c r="B6" s="17" t="s">
        <v>43</v>
      </c>
      <c r="C6" s="17" t="s">
        <v>42</v>
      </c>
      <c r="D6" s="18" t="n">
        <v>476</v>
      </c>
      <c r="E6" s="18" t="n">
        <v>93.9</v>
      </c>
      <c r="F6" s="19" t="n">
        <f aca="false">E6/D6</f>
        <v>0.197268907563025</v>
      </c>
    </row>
    <row r="7" customFormat="false" ht="15" hidden="false" customHeight="true" outlineLevel="0" collapsed="false">
      <c r="A7" s="17" t="s">
        <v>10</v>
      </c>
      <c r="B7" s="17" t="s">
        <v>44</v>
      </c>
      <c r="C7" s="17" t="s">
        <v>45</v>
      </c>
      <c r="D7" s="18" t="n">
        <v>222.2</v>
      </c>
      <c r="E7" s="18" t="n">
        <v>41.8</v>
      </c>
      <c r="F7" s="19" t="n">
        <f aca="false">E7/D7</f>
        <v>0.188118811881188</v>
      </c>
    </row>
    <row r="8" customFormat="false" ht="15" hidden="false" customHeight="true" outlineLevel="0" collapsed="false">
      <c r="A8" s="17" t="s">
        <v>10</v>
      </c>
      <c r="B8" s="17" t="s">
        <v>46</v>
      </c>
      <c r="C8" s="17" t="s">
        <v>45</v>
      </c>
      <c r="D8" s="18" t="n">
        <v>310.3</v>
      </c>
      <c r="E8" s="18" t="n">
        <v>64.8</v>
      </c>
      <c r="F8" s="19" t="n">
        <f aca="false">E8/D8</f>
        <v>0.208830164357074</v>
      </c>
    </row>
    <row r="9" customFormat="false" ht="15" hidden="false" customHeight="true" outlineLevel="0" collapsed="false">
      <c r="A9" s="17" t="s">
        <v>12</v>
      </c>
      <c r="B9" s="17" t="s">
        <v>41</v>
      </c>
      <c r="C9" s="17" t="s">
        <v>42</v>
      </c>
      <c r="D9" s="18" t="n">
        <v>42.6</v>
      </c>
      <c r="E9" s="18" t="n">
        <v>5.2</v>
      </c>
      <c r="F9" s="19" t="n">
        <f aca="false">E9/D9</f>
        <v>0.122065727699531</v>
      </c>
    </row>
    <row r="10" customFormat="false" ht="15" hidden="false" customHeight="true" outlineLevel="0" collapsed="false">
      <c r="A10" s="17" t="s">
        <v>12</v>
      </c>
      <c r="B10" s="17" t="s">
        <v>43</v>
      </c>
      <c r="C10" s="17" t="s">
        <v>42</v>
      </c>
      <c r="D10" s="18" t="n">
        <v>60.1</v>
      </c>
      <c r="E10" s="18" t="n">
        <v>12.9</v>
      </c>
      <c r="F10" s="19" t="n">
        <f aca="false">E10/D10</f>
        <v>0.214642262895175</v>
      </c>
    </row>
    <row r="11" customFormat="false" ht="15" hidden="false" customHeight="true" outlineLevel="0" collapsed="false">
      <c r="A11" s="17" t="s">
        <v>12</v>
      </c>
      <c r="B11" s="17" t="s">
        <v>44</v>
      </c>
      <c r="C11" s="17" t="s">
        <v>45</v>
      </c>
      <c r="D11" s="18" t="n">
        <v>28.9</v>
      </c>
      <c r="E11" s="18" t="n">
        <v>4.5</v>
      </c>
      <c r="F11" s="19" t="n">
        <f aca="false">E11/D11</f>
        <v>0.155709342560554</v>
      </c>
    </row>
    <row r="12" customFormat="false" ht="15" hidden="false" customHeight="true" outlineLevel="0" collapsed="false">
      <c r="A12" s="17" t="s">
        <v>12</v>
      </c>
      <c r="B12" s="17" t="s">
        <v>46</v>
      </c>
      <c r="C12" s="17" t="s">
        <v>45</v>
      </c>
      <c r="D12" s="18" t="n">
        <v>48.1</v>
      </c>
      <c r="E12" s="18" t="n">
        <v>11.7</v>
      </c>
      <c r="F12" s="19" t="n">
        <f aca="false">E12/D12</f>
        <v>0.243243243243243</v>
      </c>
    </row>
    <row r="13" customFormat="false" ht="15" hidden="false" customHeight="true" outlineLevel="0" collapsed="false">
      <c r="A13" s="17" t="s">
        <v>14</v>
      </c>
      <c r="B13" s="17" t="s">
        <v>41</v>
      </c>
      <c r="C13" s="17" t="s">
        <v>42</v>
      </c>
      <c r="D13" s="18" t="n">
        <v>65</v>
      </c>
      <c r="E13" s="18" t="n">
        <v>7.7</v>
      </c>
      <c r="F13" s="19" t="n">
        <f aca="false">E13/D13</f>
        <v>0.118461538461538</v>
      </c>
    </row>
    <row r="14" customFormat="false" ht="15" hidden="false" customHeight="true" outlineLevel="0" collapsed="false">
      <c r="A14" s="17" t="s">
        <v>14</v>
      </c>
      <c r="B14" s="17" t="s">
        <v>43</v>
      </c>
      <c r="C14" s="17" t="s">
        <v>42</v>
      </c>
      <c r="D14" s="18" t="n">
        <v>68.1</v>
      </c>
      <c r="E14" s="18" t="n">
        <v>4.8</v>
      </c>
      <c r="F14" s="19" t="n">
        <f aca="false">E14/D14</f>
        <v>0.0704845814977974</v>
      </c>
    </row>
    <row r="15" customFormat="false" ht="15" hidden="false" customHeight="true" outlineLevel="0" collapsed="false">
      <c r="A15" s="17" t="s">
        <v>14</v>
      </c>
      <c r="B15" s="17" t="s">
        <v>44</v>
      </c>
      <c r="C15" s="17" t="s">
        <v>45</v>
      </c>
      <c r="D15" s="18" t="n">
        <v>33.6</v>
      </c>
      <c r="E15" s="18" t="n">
        <v>2.9</v>
      </c>
      <c r="F15" s="19" t="n">
        <f aca="false">E15/D15</f>
        <v>0.0863095238095238</v>
      </c>
    </row>
    <row r="16" customFormat="false" ht="15" hidden="false" customHeight="true" outlineLevel="0" collapsed="false">
      <c r="A16" s="17" t="s">
        <v>14</v>
      </c>
      <c r="B16" s="17" t="s">
        <v>46</v>
      </c>
      <c r="C16" s="17" t="s">
        <v>45</v>
      </c>
      <c r="D16" s="18" t="n">
        <v>40</v>
      </c>
      <c r="E16" s="18" t="n">
        <v>2.6</v>
      </c>
      <c r="F16" s="19" t="n">
        <f aca="false">E16/D16</f>
        <v>0.065</v>
      </c>
    </row>
    <row r="17" customFormat="false" ht="15" hidden="false" customHeight="true" outlineLevel="0" collapsed="false">
      <c r="A17" s="17" t="s">
        <v>15</v>
      </c>
      <c r="B17" s="17" t="s">
        <v>41</v>
      </c>
      <c r="C17" s="17" t="s">
        <v>42</v>
      </c>
      <c r="D17" s="18" t="n">
        <v>24.5</v>
      </c>
      <c r="E17" s="18" t="n">
        <v>9.5</v>
      </c>
      <c r="F17" s="19" t="n">
        <f aca="false">E17/D17</f>
        <v>0.387755102040816</v>
      </c>
    </row>
    <row r="18" customFormat="false" ht="15" hidden="false" customHeight="true" outlineLevel="0" collapsed="false">
      <c r="A18" s="17" t="s">
        <v>15</v>
      </c>
      <c r="B18" s="17" t="s">
        <v>43</v>
      </c>
      <c r="C18" s="17" t="s">
        <v>42</v>
      </c>
      <c r="D18" s="18" t="n">
        <v>27.2</v>
      </c>
      <c r="E18" s="18" t="n">
        <v>10.6</v>
      </c>
      <c r="F18" s="19" t="n">
        <f aca="false">E18/D18</f>
        <v>0.389705882352941</v>
      </c>
    </row>
    <row r="19" customFormat="false" ht="15" hidden="false" customHeight="true" outlineLevel="0" collapsed="false">
      <c r="A19" s="17" t="s">
        <v>15</v>
      </c>
      <c r="B19" s="17" t="s">
        <v>44</v>
      </c>
      <c r="C19" s="17" t="s">
        <v>45</v>
      </c>
      <c r="D19" s="18" t="n">
        <v>13.1</v>
      </c>
      <c r="E19" s="18" t="n">
        <v>5.1</v>
      </c>
      <c r="F19" s="19" t="n">
        <f aca="false">E19/D19</f>
        <v>0.389312977099237</v>
      </c>
    </row>
    <row r="20" customFormat="false" ht="15" hidden="false" customHeight="true" outlineLevel="0" collapsed="false">
      <c r="A20" s="17" t="s">
        <v>15</v>
      </c>
      <c r="B20" s="17" t="s">
        <v>46</v>
      </c>
      <c r="C20" s="17" t="s">
        <v>45</v>
      </c>
      <c r="D20" s="18" t="n">
        <v>15.1</v>
      </c>
      <c r="E20" s="18" t="n">
        <v>6.3</v>
      </c>
      <c r="F20" s="19" t="n">
        <f aca="false">E20/D20</f>
        <v>0.417218543046358</v>
      </c>
    </row>
    <row r="23" customFormat="false" ht="15" hidden="false" customHeight="true" outlineLevel="0" collapsed="false">
      <c r="A23" s="20" t="s">
        <v>47</v>
      </c>
    </row>
    <row r="24" customFormat="false" ht="15" hidden="false" customHeight="true" outlineLevel="0" collapsed="false">
      <c r="A24" s="21" t="s">
        <v>3</v>
      </c>
      <c r="B24" s="21" t="s">
        <v>48</v>
      </c>
      <c r="C24" s="21" t="s">
        <v>49</v>
      </c>
    </row>
    <row r="25" customFormat="false" ht="15" hidden="false" customHeight="true" outlineLevel="0" collapsed="false">
      <c r="A25" s="22" t="s">
        <v>10</v>
      </c>
      <c r="B25" s="23" t="n">
        <f aca="false">AVERAGEIF($A$5:$A$20,A25,$D$5:$D$20)</f>
        <v>384.45</v>
      </c>
      <c r="C25" s="19" t="n">
        <f aca="false">AVERAGEIF($A$5:$A$20,A25,$F$5:$F$20)</f>
        <v>0.206461140136039</v>
      </c>
    </row>
    <row r="26" customFormat="false" ht="15" hidden="false" customHeight="true" outlineLevel="0" collapsed="false">
      <c r="A26" s="22" t="s">
        <v>12</v>
      </c>
      <c r="B26" s="23" t="n">
        <f aca="false">AVERAGEIF($A$5:$A$20,A26,$D$5:$D$20)</f>
        <v>44.925</v>
      </c>
      <c r="C26" s="19" t="n">
        <f aca="false">AVERAGEIF($A$5:$A$20,A26,$F$5:$F$20)</f>
        <v>0.183915144099626</v>
      </c>
    </row>
    <row r="27" customFormat="false" ht="15" hidden="false" customHeight="true" outlineLevel="0" collapsed="false">
      <c r="A27" s="22" t="s">
        <v>14</v>
      </c>
      <c r="B27" s="23" t="n">
        <f aca="false">AVERAGEIF($A$5:$A$20,A27,$D$5:$D$20)</f>
        <v>51.675</v>
      </c>
      <c r="C27" s="19" t="n">
        <f aca="false">AVERAGEIF($A$5:$A$20,A27,$F$5:$F$20)</f>
        <v>0.0850639109422149</v>
      </c>
    </row>
    <row r="28" customFormat="false" ht="15" hidden="false" customHeight="true" outlineLevel="0" collapsed="false">
      <c r="A28" s="22" t="s">
        <v>15</v>
      </c>
      <c r="B28" s="23" t="n">
        <f aca="false">AVERAGEIF($A$5:$A$20,A28,$D$5:$D$20)</f>
        <v>19.975</v>
      </c>
      <c r="C28" s="19" t="n">
        <f aca="false">AVERAGEIF($A$5:$A$20,A28,$F$5:$F$20)</f>
        <v>0.395998126134838</v>
      </c>
    </row>
  </sheetData>
  <mergeCells count="1">
    <mergeCell ref="A2:F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11" min="2" style="1" width="12.5"/>
  </cols>
  <sheetData>
    <row r="1" customFormat="false" ht="15" hidden="false" customHeight="true" outlineLevel="0" collapsed="false">
      <c r="A1" s="15" t="s">
        <v>50</v>
      </c>
    </row>
    <row r="2" customFormat="false" ht="27.75" hidden="false" customHeight="true" outlineLevel="0" collapsed="false">
      <c r="A2" s="3" t="s">
        <v>51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20" t="s">
        <v>52</v>
      </c>
    </row>
    <row r="5" customFormat="false" ht="18.75" hidden="false" customHeight="true" outlineLevel="0" collapsed="false">
      <c r="A5" s="24" t="s">
        <v>36</v>
      </c>
      <c r="B5" s="24" t="s">
        <v>38</v>
      </c>
      <c r="C5" s="24" t="s">
        <v>53</v>
      </c>
      <c r="D5" s="24" t="s">
        <v>54</v>
      </c>
      <c r="E5" s="24" t="s">
        <v>55</v>
      </c>
      <c r="F5" s="24" t="s">
        <v>56</v>
      </c>
      <c r="G5" s="24" t="s">
        <v>57</v>
      </c>
      <c r="H5" s="24" t="s">
        <v>58</v>
      </c>
      <c r="I5" s="24" t="s">
        <v>59</v>
      </c>
      <c r="J5" s="24" t="s">
        <v>60</v>
      </c>
      <c r="K5" s="24" t="s">
        <v>61</v>
      </c>
    </row>
    <row r="6" customFormat="false" ht="15" hidden="false" customHeight="true" outlineLevel="0" collapsed="false">
      <c r="A6" s="25" t="str">
        <f aca="false">Data!B5</f>
        <v>FY2024</v>
      </c>
      <c r="B6" s="26" t="n">
        <f aca="false">Data!D5</f>
        <v>529.3</v>
      </c>
      <c r="C6" s="26" t="n">
        <f aca="false">Data!E5</f>
        <v>122.6</v>
      </c>
      <c r="D6" s="23" t="n">
        <f aca="false">B6-$B$14</f>
        <v>144.85</v>
      </c>
      <c r="E6" s="23" t="n">
        <f aca="false">C6-$B$15</f>
        <v>41.825</v>
      </c>
      <c r="F6" s="23" t="n">
        <f aca="false">D6*E6</f>
        <v>6058.35125</v>
      </c>
      <c r="G6" s="23" t="n">
        <f aca="false">D6^2</f>
        <v>20981.5225</v>
      </c>
      <c r="H6" s="23" t="n">
        <f aca="false">E6^2</f>
        <v>1749.330625</v>
      </c>
      <c r="I6" s="23" t="n">
        <f aca="false">$B$19+$B$20*B6</f>
        <v>115.736662068136</v>
      </c>
      <c r="J6" s="23" t="n">
        <f aca="false">C6-I6</f>
        <v>6.86333793186407</v>
      </c>
      <c r="K6" s="23" t="n">
        <f aca="false">J6^2</f>
        <v>47.1054075669641</v>
      </c>
    </row>
    <row r="7" customFormat="false" ht="15" hidden="false" customHeight="true" outlineLevel="0" collapsed="false">
      <c r="A7" s="25" t="str">
        <f aca="false">Data!B6</f>
        <v>FY2025</v>
      </c>
      <c r="B7" s="26" t="n">
        <f aca="false">Data!D6</f>
        <v>476</v>
      </c>
      <c r="C7" s="26" t="n">
        <f aca="false">Data!E6</f>
        <v>93.9</v>
      </c>
      <c r="D7" s="23" t="n">
        <f aca="false">B7-$B$14</f>
        <v>91.55</v>
      </c>
      <c r="E7" s="23" t="n">
        <f aca="false">C7-$B$15</f>
        <v>13.125</v>
      </c>
      <c r="F7" s="23" t="n">
        <f aca="false">D7*E7</f>
        <v>1201.59375</v>
      </c>
      <c r="G7" s="23" t="n">
        <f aca="false">D7^2</f>
        <v>8381.4025</v>
      </c>
      <c r="H7" s="23" t="n">
        <f aca="false">E7^2</f>
        <v>172.265625</v>
      </c>
      <c r="I7" s="23" t="n">
        <f aca="false">$B$19+$B$20*B7</f>
        <v>102.871928977134</v>
      </c>
      <c r="J7" s="23" t="n">
        <f aca="false">C7-I7</f>
        <v>-8.9719289771339</v>
      </c>
      <c r="K7" s="23" t="n">
        <f aca="false">J7^2</f>
        <v>80.4955095707349</v>
      </c>
    </row>
    <row r="8" customFormat="false" ht="15" hidden="false" customHeight="true" outlineLevel="0" collapsed="false">
      <c r="A8" s="25" t="str">
        <f aca="false">Data!B7</f>
        <v>H1 2025</v>
      </c>
      <c r="B8" s="26" t="n">
        <f aca="false">Data!D7</f>
        <v>222.2</v>
      </c>
      <c r="C8" s="26" t="n">
        <f aca="false">Data!E7</f>
        <v>41.8</v>
      </c>
      <c r="D8" s="23" t="n">
        <f aca="false">B8-$B$14</f>
        <v>-162.25</v>
      </c>
      <c r="E8" s="23" t="n">
        <f aca="false">C8-$B$15</f>
        <v>-38.975</v>
      </c>
      <c r="F8" s="23" t="n">
        <f aca="false">D8*E8</f>
        <v>6323.69375</v>
      </c>
      <c r="G8" s="23" t="n">
        <f aca="false">D8^2</f>
        <v>26325.0625</v>
      </c>
      <c r="H8" s="23" t="n">
        <f aca="false">E8^2</f>
        <v>1519.050625</v>
      </c>
      <c r="I8" s="23" t="n">
        <f aca="false">$B$19+$B$20*B8</f>
        <v>41.6135939209178</v>
      </c>
      <c r="J8" s="23" t="n">
        <f aca="false">C8-I8</f>
        <v>0.186406079082197</v>
      </c>
      <c r="K8" s="23" t="n">
        <f aca="false">J8^2</f>
        <v>0.0347472263187982</v>
      </c>
    </row>
    <row r="9" customFormat="false" ht="15" hidden="false" customHeight="true" outlineLevel="0" collapsed="false">
      <c r="A9" s="25" t="str">
        <f aca="false">Data!B8</f>
        <v>H1 2026</v>
      </c>
      <c r="B9" s="26" t="n">
        <f aca="false">Data!D8</f>
        <v>310.3</v>
      </c>
      <c r="C9" s="26" t="n">
        <f aca="false">Data!E8</f>
        <v>64.8</v>
      </c>
      <c r="D9" s="23" t="n">
        <f aca="false">B9-$B$14</f>
        <v>-74.15</v>
      </c>
      <c r="E9" s="23" t="n">
        <f aca="false">C9-$B$15</f>
        <v>-15.975</v>
      </c>
      <c r="F9" s="23" t="n">
        <f aca="false">D9*E9</f>
        <v>1184.54625</v>
      </c>
      <c r="G9" s="23" t="n">
        <f aca="false">D9^2</f>
        <v>5498.2225</v>
      </c>
      <c r="H9" s="23" t="n">
        <f aca="false">E9^2</f>
        <v>255.200625</v>
      </c>
      <c r="I9" s="23" t="n">
        <f aca="false">$B$19+$B$20*B9</f>
        <v>62.8778150338124</v>
      </c>
      <c r="J9" s="23" t="n">
        <f aca="false">C9-I9</f>
        <v>1.92218496618763</v>
      </c>
      <c r="K9" s="23" t="n">
        <f aca="false">J9^2</f>
        <v>3.69479504423774</v>
      </c>
    </row>
    <row r="10" customFormat="false" ht="15" hidden="false" customHeight="true" outlineLevel="0" collapsed="false">
      <c r="A10" s="27" t="s">
        <v>62</v>
      </c>
      <c r="F10" s="28" t="n">
        <f aca="false">SUM(F6:F9)</f>
        <v>14768.185</v>
      </c>
      <c r="G10" s="28" t="n">
        <f aca="false">SUM(G6:G9)</f>
        <v>61186.21</v>
      </c>
      <c r="H10" s="28" t="n">
        <f aca="false">SUM(H6:H9)</f>
        <v>3695.8475</v>
      </c>
      <c r="K10" s="28" t="n">
        <f aca="false">SUM(K6:K9)</f>
        <v>131.330459408256</v>
      </c>
    </row>
    <row r="12" customFormat="false" ht="15" hidden="false" customHeight="true" outlineLevel="0" collapsed="false">
      <c r="A12" s="20" t="s">
        <v>63</v>
      </c>
    </row>
    <row r="13" customFormat="false" ht="15" hidden="false" customHeight="true" outlineLevel="0" collapsed="false">
      <c r="A13" s="29" t="s">
        <v>64</v>
      </c>
      <c r="B13" s="30" t="n">
        <f aca="false">COUNT(B6:B9)</f>
        <v>4</v>
      </c>
      <c r="C13" s="31" t="s">
        <v>65</v>
      </c>
    </row>
    <row r="14" customFormat="false" ht="15" hidden="false" customHeight="true" outlineLevel="0" collapsed="false">
      <c r="A14" s="29" t="s">
        <v>66</v>
      </c>
      <c r="B14" s="32" t="n">
        <f aca="false">AVERAGE(B6:B9)</f>
        <v>384.45</v>
      </c>
      <c r="C14" s="31" t="s">
        <v>67</v>
      </c>
    </row>
    <row r="15" customFormat="false" ht="15" hidden="false" customHeight="true" outlineLevel="0" collapsed="false">
      <c r="A15" s="29" t="s">
        <v>68</v>
      </c>
      <c r="B15" s="32" t="n">
        <f aca="false">AVERAGE(C6:C9)</f>
        <v>80.775</v>
      </c>
      <c r="C15" s="31" t="s">
        <v>69</v>
      </c>
    </row>
    <row r="16" customFormat="false" ht="15" hidden="false" customHeight="true" outlineLevel="0" collapsed="false">
      <c r="A16" s="29" t="s">
        <v>70</v>
      </c>
      <c r="B16" s="32" t="n">
        <f aca="false">G10</f>
        <v>61186.21</v>
      </c>
      <c r="C16" s="31" t="s">
        <v>71</v>
      </c>
    </row>
    <row r="17" customFormat="false" ht="15" hidden="false" customHeight="true" outlineLevel="0" collapsed="false">
      <c r="A17" s="29" t="s">
        <v>72</v>
      </c>
      <c r="B17" s="32" t="n">
        <f aca="false">F10</f>
        <v>14768.185</v>
      </c>
      <c r="C17" s="31" t="s">
        <v>73</v>
      </c>
    </row>
    <row r="18" customFormat="false" ht="15" hidden="false" customHeight="true" outlineLevel="0" collapsed="false">
      <c r="A18" s="29" t="s">
        <v>74</v>
      </c>
      <c r="B18" s="32" t="n">
        <f aca="false">H10</f>
        <v>3695.8475</v>
      </c>
      <c r="C18" s="31" t="s">
        <v>75</v>
      </c>
    </row>
    <row r="19" customFormat="false" ht="15" hidden="false" customHeight="true" outlineLevel="0" collapsed="false">
      <c r="A19" s="29" t="s">
        <v>76</v>
      </c>
      <c r="B19" s="33" t="n">
        <f aca="false">B15-B20*B14</f>
        <v>-12.0176198280626</v>
      </c>
      <c r="C19" s="31" t="s">
        <v>77</v>
      </c>
    </row>
    <row r="20" customFormat="false" ht="15" hidden="false" customHeight="true" outlineLevel="0" collapsed="false">
      <c r="A20" s="29" t="s">
        <v>78</v>
      </c>
      <c r="B20" s="34" t="n">
        <f aca="false">B17/B16</f>
        <v>0.241364598330245</v>
      </c>
      <c r="C20" s="31" t="s">
        <v>79</v>
      </c>
    </row>
    <row r="21" customFormat="false" ht="15" hidden="false" customHeight="true" outlineLevel="0" collapsed="false">
      <c r="A21" s="29" t="s">
        <v>80</v>
      </c>
      <c r="B21" s="32" t="n">
        <f aca="false">B18</f>
        <v>3695.8475</v>
      </c>
      <c r="C21" s="31" t="s">
        <v>74</v>
      </c>
    </row>
    <row r="22" customFormat="false" ht="15" hidden="false" customHeight="true" outlineLevel="0" collapsed="false">
      <c r="A22" s="29" t="s">
        <v>81</v>
      </c>
      <c r="B22" s="32" t="n">
        <f aca="false">K10</f>
        <v>131.330459408256</v>
      </c>
      <c r="C22" s="31" t="s">
        <v>82</v>
      </c>
    </row>
    <row r="23" customFormat="false" ht="15" hidden="false" customHeight="true" outlineLevel="0" collapsed="false">
      <c r="A23" s="29" t="s">
        <v>83</v>
      </c>
      <c r="B23" s="35" t="n">
        <f aca="false">1-B22/B21</f>
        <v>0.964465400856433</v>
      </c>
      <c r="C23" s="31" t="s">
        <v>84</v>
      </c>
    </row>
    <row r="24" customFormat="false" ht="15" hidden="false" customHeight="true" outlineLevel="0" collapsed="false">
      <c r="A24" s="29" t="s">
        <v>4</v>
      </c>
      <c r="B24" s="36" t="n">
        <f aca="false">B17/SQRT(B16*B18)</f>
        <v>0.982071993723695</v>
      </c>
      <c r="C24" s="31" t="s">
        <v>85</v>
      </c>
    </row>
    <row r="25" customFormat="false" ht="15" hidden="false" customHeight="true" outlineLevel="0" collapsed="false">
      <c r="A25" s="29" t="s">
        <v>86</v>
      </c>
      <c r="B25" s="33" t="n">
        <f aca="false">SQRT(B22/((B13-2)*B16))</f>
        <v>0.0327597785568027</v>
      </c>
      <c r="C25" s="31" t="s">
        <v>87</v>
      </c>
    </row>
    <row r="26" customFormat="false" ht="15" hidden="false" customHeight="true" outlineLevel="0" collapsed="false">
      <c r="A26" s="29" t="s">
        <v>88</v>
      </c>
      <c r="B26" s="30" t="n">
        <f aca="false">B13-2</f>
        <v>2</v>
      </c>
      <c r="C26" s="31" t="s">
        <v>89</v>
      </c>
    </row>
    <row r="27" customFormat="false" ht="15" hidden="false" customHeight="true" outlineLevel="0" collapsed="false">
      <c r="A27" s="29" t="s">
        <v>90</v>
      </c>
      <c r="B27" s="35" t="n">
        <f aca="false">B20/B25</f>
        <v>7.36771153418326</v>
      </c>
      <c r="C27" s="31" t="s">
        <v>91</v>
      </c>
    </row>
    <row r="28" customFormat="false" ht="15" hidden="false" customHeight="true" outlineLevel="0" collapsed="false">
      <c r="A28" s="29" t="s">
        <v>92</v>
      </c>
      <c r="B28" s="36" t="n">
        <f aca="false">TDIST(ABS(B27),B26,2)</f>
        <v>0.0179280062763053</v>
      </c>
      <c r="C28" s="31" t="s">
        <v>93</v>
      </c>
      <c r="D28" s="37" t="str">
        <f aca="false">IF(B28&lt;0.05,"significant at 5%",IF(B28&lt;0.1,"significant at 10%","NOT significant at 10%"))</f>
        <v>significant at 5%</v>
      </c>
    </row>
    <row r="29" customFormat="false" ht="15" hidden="false" customHeight="true" outlineLevel="0" collapsed="false">
      <c r="A29" s="29" t="s">
        <v>94</v>
      </c>
      <c r="B29" s="35" t="n">
        <f aca="false">TINV(0.05,B26)</f>
        <v>4.30265272974946</v>
      </c>
      <c r="C29" s="31" t="s">
        <v>95</v>
      </c>
    </row>
    <row r="30" customFormat="false" ht="15" hidden="false" customHeight="true" outlineLevel="0" collapsed="false">
      <c r="A30" s="29" t="s">
        <v>96</v>
      </c>
      <c r="B30" s="38" t="n">
        <f aca="false">B20-B29*B25</f>
        <v>0.10041064769683</v>
      </c>
      <c r="C30" s="31" t="s">
        <v>97</v>
      </c>
    </row>
    <row r="31" customFormat="false" ht="15" hidden="false" customHeight="true" outlineLevel="0" collapsed="false">
      <c r="A31" s="29" t="s">
        <v>98</v>
      </c>
      <c r="B31" s="38" t="n">
        <f aca="false">B20+B29*B25</f>
        <v>0.38231854896366</v>
      </c>
      <c r="C31" s="31" t="s">
        <v>99</v>
      </c>
    </row>
    <row r="33" customFormat="false" ht="15" hidden="false" customHeight="true" outlineLevel="0" collapsed="false">
      <c r="A33" s="39" t="s">
        <v>100</v>
      </c>
    </row>
    <row r="34" customFormat="false" ht="15" hidden="false" customHeight="true" outlineLevel="0" collapsed="false">
      <c r="A34" s="40" t="s">
        <v>101</v>
      </c>
      <c r="B34" s="41" t="n">
        <f aca="false">CORREL(C6:C9,B6:B9)</f>
        <v>0.982071993723695</v>
      </c>
    </row>
    <row r="35" customFormat="false" ht="15" hidden="false" customHeight="true" outlineLevel="0" collapsed="false">
      <c r="A35" s="40" t="s">
        <v>102</v>
      </c>
      <c r="B35" s="41" t="n">
        <f aca="false">SLOPE(C6:C9,B6:B9)</f>
        <v>0.241364598330245</v>
      </c>
    </row>
    <row r="36" customFormat="false" ht="15" hidden="false" customHeight="true" outlineLevel="0" collapsed="false">
      <c r="A36" s="40" t="s">
        <v>103</v>
      </c>
      <c r="B36" s="41" t="n">
        <f aca="false">INTERCEPT(C6:C9,B6:B9)</f>
        <v>-12.0176198280626</v>
      </c>
    </row>
    <row r="37" customFormat="false" ht="15" hidden="false" customHeight="true" outlineLevel="0" collapsed="false">
      <c r="A37" s="40" t="s">
        <v>104</v>
      </c>
      <c r="B37" s="41" t="n">
        <f aca="false">RSQ(C6:C9,B6:B9)</f>
        <v>0.964465400856433</v>
      </c>
    </row>
    <row r="38" customFormat="false" ht="15" hidden="false" customHeight="true" outlineLevel="0" collapsed="false">
      <c r="A38" s="40" t="s">
        <v>105</v>
      </c>
      <c r="B38" s="41" t="n">
        <f aca="false">STEYX(C6:C9,B6:B9)/SQRT(B16)</f>
        <v>0.0327597785568027</v>
      </c>
    </row>
    <row r="41" customFormat="false" ht="15" hidden="false" customHeight="true" outlineLevel="0" collapsed="false">
      <c r="A41" s="20" t="s">
        <v>106</v>
      </c>
    </row>
    <row r="42" customFormat="false" ht="18.75" hidden="false" customHeight="true" outlineLevel="0" collapsed="false">
      <c r="A42" s="24" t="s">
        <v>36</v>
      </c>
      <c r="B42" s="24" t="s">
        <v>38</v>
      </c>
      <c r="C42" s="24" t="s">
        <v>53</v>
      </c>
      <c r="D42" s="24" t="s">
        <v>54</v>
      </c>
      <c r="E42" s="24" t="s">
        <v>55</v>
      </c>
      <c r="F42" s="24" t="s">
        <v>56</v>
      </c>
      <c r="G42" s="24" t="s">
        <v>57</v>
      </c>
      <c r="H42" s="24" t="s">
        <v>58</v>
      </c>
      <c r="I42" s="24" t="s">
        <v>59</v>
      </c>
      <c r="J42" s="24" t="s">
        <v>60</v>
      </c>
      <c r="K42" s="24" t="s">
        <v>61</v>
      </c>
    </row>
    <row r="43" customFormat="false" ht="15" hidden="false" customHeight="true" outlineLevel="0" collapsed="false">
      <c r="A43" s="25" t="str">
        <f aca="false">Data!B9</f>
        <v>FY2024</v>
      </c>
      <c r="B43" s="26" t="n">
        <f aca="false">Data!D9</f>
        <v>42.6</v>
      </c>
      <c r="C43" s="26" t="n">
        <f aca="false">Data!E9</f>
        <v>5.2</v>
      </c>
      <c r="D43" s="23" t="n">
        <f aca="false">B43-$B$51</f>
        <v>-2.325</v>
      </c>
      <c r="E43" s="23" t="n">
        <f aca="false">C43-$B$52</f>
        <v>-3.375</v>
      </c>
      <c r="F43" s="23" t="n">
        <f aca="false">D43*E43</f>
        <v>7.84687499999998</v>
      </c>
      <c r="G43" s="23" t="n">
        <f aca="false">D43^2</f>
        <v>5.40562499999998</v>
      </c>
      <c r="H43" s="23" t="n">
        <f aca="false">E43^2</f>
        <v>11.390625</v>
      </c>
      <c r="I43" s="23" t="n">
        <f aca="false">$B$56+$B$57*B43</f>
        <v>7.88706591651868</v>
      </c>
      <c r="J43" s="23" t="n">
        <f aca="false">C43-I43</f>
        <v>-2.68706591651868</v>
      </c>
      <c r="K43" s="23" t="n">
        <f aca="false">J43^2</f>
        <v>7.22032323971635</v>
      </c>
    </row>
    <row r="44" customFormat="false" ht="15" hidden="false" customHeight="true" outlineLevel="0" collapsed="false">
      <c r="A44" s="25" t="str">
        <f aca="false">Data!B10</f>
        <v>FY2025</v>
      </c>
      <c r="B44" s="26" t="n">
        <f aca="false">Data!D10</f>
        <v>60.1</v>
      </c>
      <c r="C44" s="26" t="n">
        <f aca="false">Data!E10</f>
        <v>12.9</v>
      </c>
      <c r="D44" s="23" t="n">
        <f aca="false">B44-$B$51</f>
        <v>15.175</v>
      </c>
      <c r="E44" s="23" t="n">
        <f aca="false">C44-$B$52</f>
        <v>4.325</v>
      </c>
      <c r="F44" s="23" t="n">
        <f aca="false">D44*E44</f>
        <v>65.631875</v>
      </c>
      <c r="G44" s="23" t="n">
        <f aca="false">D44^2</f>
        <v>230.280625</v>
      </c>
      <c r="H44" s="23" t="n">
        <f aca="false">E44^2</f>
        <v>18.705625</v>
      </c>
      <c r="I44" s="23" t="n">
        <f aca="false">$B$56+$B$57*B44</f>
        <v>13.0650643943351</v>
      </c>
      <c r="J44" s="23" t="n">
        <f aca="false">C44-I44</f>
        <v>-0.165064394335088</v>
      </c>
      <c r="K44" s="23" t="n">
        <f aca="false">J44^2</f>
        <v>0.0272462542772095</v>
      </c>
    </row>
    <row r="45" customFormat="false" ht="15" hidden="false" customHeight="true" outlineLevel="0" collapsed="false">
      <c r="A45" s="25" t="str">
        <f aca="false">Data!B11</f>
        <v>H1 2025</v>
      </c>
      <c r="B45" s="26" t="n">
        <f aca="false">Data!D11</f>
        <v>28.9</v>
      </c>
      <c r="C45" s="26" t="n">
        <f aca="false">Data!E11</f>
        <v>4.5</v>
      </c>
      <c r="D45" s="23" t="n">
        <f aca="false">B45-$B$51</f>
        <v>-16.025</v>
      </c>
      <c r="E45" s="23" t="n">
        <f aca="false">C45-$B$52</f>
        <v>-4.075</v>
      </c>
      <c r="F45" s="23" t="n">
        <f aca="false">D45*E45</f>
        <v>65.301875</v>
      </c>
      <c r="G45" s="23" t="n">
        <f aca="false">D45^2</f>
        <v>256.800625</v>
      </c>
      <c r="H45" s="23" t="n">
        <f aca="false">E45^2</f>
        <v>16.605625</v>
      </c>
      <c r="I45" s="23" t="n">
        <f aca="false">$B$56+$B$57*B45</f>
        <v>3.83343282245668</v>
      </c>
      <c r="J45" s="23" t="n">
        <f aca="false">C45-I45</f>
        <v>0.666567177543316</v>
      </c>
      <c r="K45" s="23" t="n">
        <f aca="false">J45^2</f>
        <v>0.444311802178062</v>
      </c>
    </row>
    <row r="46" customFormat="false" ht="15" hidden="false" customHeight="true" outlineLevel="0" collapsed="false">
      <c r="A46" s="25" t="str">
        <f aca="false">Data!B12</f>
        <v>H1 2026</v>
      </c>
      <c r="B46" s="26" t="n">
        <f aca="false">Data!D12</f>
        <v>48.1</v>
      </c>
      <c r="C46" s="26" t="n">
        <f aca="false">Data!E12</f>
        <v>11.7</v>
      </c>
      <c r="D46" s="23" t="n">
        <f aca="false">B46-$B$51</f>
        <v>3.175</v>
      </c>
      <c r="E46" s="23" t="n">
        <f aca="false">C46-$B$52</f>
        <v>3.125</v>
      </c>
      <c r="F46" s="23" t="n">
        <f aca="false">D46*E46</f>
        <v>9.92187500000001</v>
      </c>
      <c r="G46" s="23" t="n">
        <f aca="false">D46^2</f>
        <v>10.080625</v>
      </c>
      <c r="H46" s="23" t="n">
        <f aca="false">E46^2</f>
        <v>9.765625</v>
      </c>
      <c r="I46" s="23" t="n">
        <f aca="false">$B$56+$B$57*B46</f>
        <v>9.51443686668955</v>
      </c>
      <c r="J46" s="23" t="n">
        <f aca="false">C46-I46</f>
        <v>2.18556313331045</v>
      </c>
      <c r="K46" s="23" t="n">
        <f aca="false">J46^2</f>
        <v>4.7766862096858</v>
      </c>
    </row>
    <row r="47" customFormat="false" ht="15" hidden="false" customHeight="true" outlineLevel="0" collapsed="false">
      <c r="A47" s="27" t="s">
        <v>62</v>
      </c>
      <c r="F47" s="28" t="n">
        <f aca="false">SUM(F43:F46)</f>
        <v>148.7025</v>
      </c>
      <c r="G47" s="28" t="n">
        <f aca="false">SUM(G43:G46)</f>
        <v>502.5675</v>
      </c>
      <c r="H47" s="28" t="n">
        <f aca="false">SUM(H43:H46)</f>
        <v>56.4675</v>
      </c>
      <c r="K47" s="28" t="n">
        <f aca="false">SUM(K43:K46)</f>
        <v>12.4685675058574</v>
      </c>
    </row>
    <row r="49" customFormat="false" ht="15" hidden="false" customHeight="true" outlineLevel="0" collapsed="false">
      <c r="A49" s="20" t="s">
        <v>63</v>
      </c>
    </row>
    <row r="50" customFormat="false" ht="15" hidden="false" customHeight="true" outlineLevel="0" collapsed="false">
      <c r="A50" s="29" t="s">
        <v>64</v>
      </c>
      <c r="B50" s="30" t="n">
        <f aca="false">COUNT(B43:B46)</f>
        <v>4</v>
      </c>
      <c r="C50" s="31" t="s">
        <v>65</v>
      </c>
    </row>
    <row r="51" customFormat="false" ht="15" hidden="false" customHeight="true" outlineLevel="0" collapsed="false">
      <c r="A51" s="29" t="s">
        <v>66</v>
      </c>
      <c r="B51" s="32" t="n">
        <f aca="false">AVERAGE(B43:B46)</f>
        <v>44.925</v>
      </c>
      <c r="C51" s="31" t="s">
        <v>67</v>
      </c>
    </row>
    <row r="52" customFormat="false" ht="15" hidden="false" customHeight="true" outlineLevel="0" collapsed="false">
      <c r="A52" s="29" t="s">
        <v>68</v>
      </c>
      <c r="B52" s="32" t="n">
        <f aca="false">AVERAGE(C43:C46)</f>
        <v>8.575</v>
      </c>
      <c r="C52" s="31" t="s">
        <v>69</v>
      </c>
    </row>
    <row r="53" customFormat="false" ht="15" hidden="false" customHeight="true" outlineLevel="0" collapsed="false">
      <c r="A53" s="29" t="s">
        <v>70</v>
      </c>
      <c r="B53" s="32" t="n">
        <f aca="false">G47</f>
        <v>502.5675</v>
      </c>
      <c r="C53" s="31" t="s">
        <v>71</v>
      </c>
    </row>
    <row r="54" customFormat="false" ht="15" hidden="false" customHeight="true" outlineLevel="0" collapsed="false">
      <c r="A54" s="29" t="s">
        <v>72</v>
      </c>
      <c r="B54" s="32" t="n">
        <f aca="false">F47</f>
        <v>148.7025</v>
      </c>
      <c r="C54" s="31" t="s">
        <v>73</v>
      </c>
    </row>
    <row r="55" customFormat="false" ht="15" hidden="false" customHeight="true" outlineLevel="0" collapsed="false">
      <c r="A55" s="29" t="s">
        <v>74</v>
      </c>
      <c r="B55" s="32" t="n">
        <f aca="false">H47</f>
        <v>56.4675</v>
      </c>
      <c r="C55" s="31" t="s">
        <v>75</v>
      </c>
    </row>
    <row r="56" customFormat="false" ht="15" hidden="false" customHeight="true" outlineLevel="0" collapsed="false">
      <c r="A56" s="29" t="s">
        <v>76</v>
      </c>
      <c r="B56" s="33" t="n">
        <f aca="false">B52-B57*B51</f>
        <v>-4.71766180662299</v>
      </c>
      <c r="C56" s="31" t="s">
        <v>77</v>
      </c>
    </row>
    <row r="57" customFormat="false" ht="15" hidden="false" customHeight="true" outlineLevel="0" collapsed="false">
      <c r="A57" s="29" t="s">
        <v>78</v>
      </c>
      <c r="B57" s="34" t="n">
        <f aca="false">B54/B53</f>
        <v>0.295885627303795</v>
      </c>
      <c r="C57" s="31" t="s">
        <v>79</v>
      </c>
    </row>
    <row r="58" customFormat="false" ht="15" hidden="false" customHeight="true" outlineLevel="0" collapsed="false">
      <c r="A58" s="29" t="s">
        <v>80</v>
      </c>
      <c r="B58" s="32" t="n">
        <f aca="false">B55</f>
        <v>56.4675</v>
      </c>
      <c r="C58" s="31" t="s">
        <v>74</v>
      </c>
    </row>
    <row r="59" customFormat="false" ht="15" hidden="false" customHeight="true" outlineLevel="0" collapsed="false">
      <c r="A59" s="29" t="s">
        <v>81</v>
      </c>
      <c r="B59" s="32" t="n">
        <f aca="false">K47</f>
        <v>12.4685675058574</v>
      </c>
      <c r="C59" s="31" t="s">
        <v>82</v>
      </c>
    </row>
    <row r="60" customFormat="false" ht="15" hidden="false" customHeight="true" outlineLevel="0" collapsed="false">
      <c r="A60" s="29" t="s">
        <v>83</v>
      </c>
      <c r="B60" s="35" t="n">
        <f aca="false">1-B59/B58</f>
        <v>0.779190374890735</v>
      </c>
      <c r="C60" s="31" t="s">
        <v>84</v>
      </c>
    </row>
    <row r="61" customFormat="false" ht="15" hidden="false" customHeight="true" outlineLevel="0" collapsed="false">
      <c r="A61" s="29" t="s">
        <v>4</v>
      </c>
      <c r="B61" s="36" t="n">
        <f aca="false">B54/SQRT(B53*B55)</f>
        <v>0.88271760767005</v>
      </c>
      <c r="C61" s="31" t="s">
        <v>85</v>
      </c>
    </row>
    <row r="62" customFormat="false" ht="15" hidden="false" customHeight="true" outlineLevel="0" collapsed="false">
      <c r="A62" s="29" t="s">
        <v>86</v>
      </c>
      <c r="B62" s="33" t="n">
        <f aca="false">SQRT(B59/((B50-2)*B53))</f>
        <v>0.111377145348939</v>
      </c>
      <c r="C62" s="31" t="s">
        <v>87</v>
      </c>
    </row>
    <row r="63" customFormat="false" ht="15" hidden="false" customHeight="true" outlineLevel="0" collapsed="false">
      <c r="A63" s="29" t="s">
        <v>88</v>
      </c>
      <c r="B63" s="30" t="n">
        <f aca="false">B50-2</f>
        <v>2</v>
      </c>
      <c r="C63" s="31" t="s">
        <v>89</v>
      </c>
    </row>
    <row r="64" customFormat="false" ht="15" hidden="false" customHeight="true" outlineLevel="0" collapsed="false">
      <c r="A64" s="29" t="s">
        <v>90</v>
      </c>
      <c r="B64" s="35" t="n">
        <f aca="false">B57/B62</f>
        <v>2.65660990301736</v>
      </c>
      <c r="C64" s="31" t="s">
        <v>91</v>
      </c>
    </row>
    <row r="65" customFormat="false" ht="15" hidden="false" customHeight="true" outlineLevel="0" collapsed="false">
      <c r="A65" s="29" t="s">
        <v>92</v>
      </c>
      <c r="B65" s="36" t="n">
        <f aca="false">TDIST(ABS(B64),B63,2)</f>
        <v>0.117282392329951</v>
      </c>
      <c r="C65" s="31" t="s">
        <v>93</v>
      </c>
      <c r="D65" s="37" t="str">
        <f aca="false">IF(B65&lt;0.05,"significant at 5%",IF(B65&lt;0.1,"significant at 10%","NOT significant at 10%"))</f>
        <v>NOT significant at 10%</v>
      </c>
    </row>
    <row r="66" customFormat="false" ht="15" hidden="false" customHeight="true" outlineLevel="0" collapsed="false">
      <c r="A66" s="29" t="s">
        <v>94</v>
      </c>
      <c r="B66" s="35" t="n">
        <f aca="false">TINV(0.05,B63)</f>
        <v>4.30265272974946</v>
      </c>
      <c r="C66" s="31" t="s">
        <v>95</v>
      </c>
    </row>
    <row r="67" customFormat="false" ht="15" hidden="false" customHeight="true" outlineLevel="0" collapsed="false">
      <c r="A67" s="29" t="s">
        <v>96</v>
      </c>
      <c r="B67" s="38" t="n">
        <f aca="false">B57-B66*B62</f>
        <v>-0.18333155116352</v>
      </c>
      <c r="C67" s="31" t="s">
        <v>97</v>
      </c>
    </row>
    <row r="68" customFormat="false" ht="15" hidden="false" customHeight="true" outlineLevel="0" collapsed="false">
      <c r="A68" s="29" t="s">
        <v>98</v>
      </c>
      <c r="B68" s="38" t="n">
        <f aca="false">B57+B66*B62</f>
        <v>0.775102805771111</v>
      </c>
      <c r="C68" s="31" t="s">
        <v>99</v>
      </c>
    </row>
    <row r="70" customFormat="false" ht="15" hidden="false" customHeight="true" outlineLevel="0" collapsed="false">
      <c r="A70" s="39" t="s">
        <v>100</v>
      </c>
    </row>
    <row r="71" customFormat="false" ht="15" hidden="false" customHeight="true" outlineLevel="0" collapsed="false">
      <c r="A71" s="40" t="s">
        <v>101</v>
      </c>
      <c r="B71" s="41" t="n">
        <f aca="false">CORREL(C43:C46,B43:B46)</f>
        <v>0.882717607670049</v>
      </c>
    </row>
    <row r="72" customFormat="false" ht="15" hidden="false" customHeight="true" outlineLevel="0" collapsed="false">
      <c r="A72" s="40" t="s">
        <v>102</v>
      </c>
      <c r="B72" s="41" t="n">
        <f aca="false">SLOPE(C43:C46,B43:B46)</f>
        <v>0.295885627303795</v>
      </c>
    </row>
    <row r="73" customFormat="false" ht="15" hidden="false" customHeight="true" outlineLevel="0" collapsed="false">
      <c r="A73" s="40" t="s">
        <v>103</v>
      </c>
      <c r="B73" s="41" t="n">
        <f aca="false">INTERCEPT(C43:C46,B43:B46)</f>
        <v>-4.71766180662299</v>
      </c>
    </row>
    <row r="74" customFormat="false" ht="15" hidden="false" customHeight="true" outlineLevel="0" collapsed="false">
      <c r="A74" s="40" t="s">
        <v>104</v>
      </c>
      <c r="B74" s="41" t="n">
        <f aca="false">RSQ(C43:C46,B43:B46)</f>
        <v>0.779190374890735</v>
      </c>
    </row>
    <row r="75" customFormat="false" ht="15" hidden="false" customHeight="true" outlineLevel="0" collapsed="false">
      <c r="A75" s="40" t="s">
        <v>105</v>
      </c>
      <c r="B75" s="41" t="n">
        <f aca="false">STEYX(C43:C46,B43:B46)/SQRT(B53)</f>
        <v>0.111377145348939</v>
      </c>
    </row>
    <row r="78" customFormat="false" ht="15" hidden="false" customHeight="true" outlineLevel="0" collapsed="false">
      <c r="A78" s="20" t="s">
        <v>107</v>
      </c>
    </row>
    <row r="79" customFormat="false" ht="18.75" hidden="false" customHeight="true" outlineLevel="0" collapsed="false">
      <c r="A79" s="24" t="s">
        <v>36</v>
      </c>
      <c r="B79" s="24" t="s">
        <v>38</v>
      </c>
      <c r="C79" s="24" t="s">
        <v>53</v>
      </c>
      <c r="D79" s="24" t="s">
        <v>54</v>
      </c>
      <c r="E79" s="24" t="s">
        <v>55</v>
      </c>
      <c r="F79" s="24" t="s">
        <v>56</v>
      </c>
      <c r="G79" s="24" t="s">
        <v>57</v>
      </c>
      <c r="H79" s="24" t="s">
        <v>58</v>
      </c>
      <c r="I79" s="24" t="s">
        <v>59</v>
      </c>
      <c r="J79" s="24" t="s">
        <v>60</v>
      </c>
      <c r="K79" s="24" t="s">
        <v>61</v>
      </c>
    </row>
    <row r="80" customFormat="false" ht="15" hidden="false" customHeight="true" outlineLevel="0" collapsed="false">
      <c r="A80" s="25" t="str">
        <f aca="false">Data!B13</f>
        <v>FY2024</v>
      </c>
      <c r="B80" s="26" t="n">
        <f aca="false">Data!D13</f>
        <v>65</v>
      </c>
      <c r="C80" s="26" t="n">
        <f aca="false">Data!E13</f>
        <v>7.7</v>
      </c>
      <c r="D80" s="23" t="n">
        <f aca="false">B80-$B$88</f>
        <v>13.325</v>
      </c>
      <c r="E80" s="23" t="n">
        <f aca="false">C80-$B$89</f>
        <v>3.2</v>
      </c>
      <c r="F80" s="23" t="n">
        <f aca="false">D80*E80</f>
        <v>42.64</v>
      </c>
      <c r="G80" s="23" t="n">
        <f aca="false">D80^2</f>
        <v>177.555625</v>
      </c>
      <c r="H80" s="23" t="n">
        <f aca="false">E80^2</f>
        <v>10.24</v>
      </c>
      <c r="I80" s="23" t="n">
        <f aca="false">$B$93+$B$94*B80</f>
        <v>5.94425919772395</v>
      </c>
      <c r="J80" s="23" t="n">
        <f aca="false">C80-I80</f>
        <v>1.75574080227605</v>
      </c>
      <c r="K80" s="23" t="n">
        <f aca="false">J80^2</f>
        <v>3.08262576477696</v>
      </c>
    </row>
    <row r="81" customFormat="false" ht="15" hidden="false" customHeight="true" outlineLevel="0" collapsed="false">
      <c r="A81" s="25" t="str">
        <f aca="false">Data!B14</f>
        <v>FY2025</v>
      </c>
      <c r="B81" s="26" t="n">
        <f aca="false">Data!D14</f>
        <v>68.1</v>
      </c>
      <c r="C81" s="26" t="n">
        <f aca="false">Data!E14</f>
        <v>4.8</v>
      </c>
      <c r="D81" s="23" t="n">
        <f aca="false">B81-$B$88</f>
        <v>16.425</v>
      </c>
      <c r="E81" s="23" t="n">
        <f aca="false">C81-$B$89</f>
        <v>0.3</v>
      </c>
      <c r="F81" s="23" t="n">
        <f aca="false">D81*E81</f>
        <v>4.9275</v>
      </c>
      <c r="G81" s="23" t="n">
        <f aca="false">D81^2</f>
        <v>269.780625</v>
      </c>
      <c r="H81" s="23" t="n">
        <f aca="false">E81^2</f>
        <v>0.0899999999999999</v>
      </c>
      <c r="I81" s="23" t="n">
        <f aca="false">$B$93+$B$94*B81</f>
        <v>6.28025946135954</v>
      </c>
      <c r="J81" s="23" t="n">
        <f aca="false">C81-I81</f>
        <v>-1.48025946135954</v>
      </c>
      <c r="K81" s="23" t="n">
        <f aca="false">J81^2</f>
        <v>2.19116807294442</v>
      </c>
    </row>
    <row r="82" customFormat="false" ht="15" hidden="false" customHeight="true" outlineLevel="0" collapsed="false">
      <c r="A82" s="25" t="str">
        <f aca="false">Data!B15</f>
        <v>H1 2025</v>
      </c>
      <c r="B82" s="26" t="n">
        <f aca="false">Data!D15</f>
        <v>33.6</v>
      </c>
      <c r="C82" s="26" t="n">
        <f aca="false">Data!E15</f>
        <v>2.9</v>
      </c>
      <c r="D82" s="23" t="n">
        <f aca="false">B82-$B$88</f>
        <v>-18.075</v>
      </c>
      <c r="E82" s="23" t="n">
        <f aca="false">C82-$B$89</f>
        <v>-1.6</v>
      </c>
      <c r="F82" s="23" t="n">
        <f aca="false">D82*E82</f>
        <v>28.92</v>
      </c>
      <c r="G82" s="23" t="n">
        <f aca="false">D82^2</f>
        <v>326.705625</v>
      </c>
      <c r="H82" s="23" t="n">
        <f aca="false">E82^2</f>
        <v>2.56</v>
      </c>
      <c r="I82" s="23" t="n">
        <f aca="false">$B$93+$B$94*B82</f>
        <v>2.54090168864088</v>
      </c>
      <c r="J82" s="23" t="n">
        <f aca="false">C82-I82</f>
        <v>0.359098311359124</v>
      </c>
      <c r="K82" s="23" t="n">
        <f aca="false">J82^2</f>
        <v>0.128951597220974</v>
      </c>
    </row>
    <row r="83" customFormat="false" ht="15" hidden="false" customHeight="true" outlineLevel="0" collapsed="false">
      <c r="A83" s="25" t="str">
        <f aca="false">Data!B16</f>
        <v>H1 2026</v>
      </c>
      <c r="B83" s="26" t="n">
        <f aca="false">Data!D16</f>
        <v>40</v>
      </c>
      <c r="C83" s="26" t="n">
        <f aca="false">Data!E16</f>
        <v>2.6</v>
      </c>
      <c r="D83" s="23" t="n">
        <f aca="false">B83-$B$88</f>
        <v>-11.675</v>
      </c>
      <c r="E83" s="23" t="n">
        <f aca="false">C83-$B$89</f>
        <v>-1.9</v>
      </c>
      <c r="F83" s="23" t="n">
        <f aca="false">D83*E83</f>
        <v>22.1825</v>
      </c>
      <c r="G83" s="23" t="n">
        <f aca="false">D83^2</f>
        <v>136.305625</v>
      </c>
      <c r="H83" s="23" t="n">
        <f aca="false">E83^2</f>
        <v>3.61</v>
      </c>
      <c r="I83" s="23" t="n">
        <f aca="false">$B$93+$B$94*B83</f>
        <v>3.23457965227564</v>
      </c>
      <c r="J83" s="23" t="n">
        <f aca="false">C83-I83</f>
        <v>-0.634579652275642</v>
      </c>
      <c r="K83" s="23" t="n">
        <f aca="false">J83^2</f>
        <v>0.402691335082275</v>
      </c>
    </row>
    <row r="84" customFormat="false" ht="15" hidden="false" customHeight="true" outlineLevel="0" collapsed="false">
      <c r="A84" s="27" t="s">
        <v>62</v>
      </c>
      <c r="F84" s="28" t="n">
        <f aca="false">SUM(F80:F83)</f>
        <v>98.67</v>
      </c>
      <c r="G84" s="28" t="n">
        <f aca="false">SUM(G80:G83)</f>
        <v>910.3475</v>
      </c>
      <c r="H84" s="28" t="n">
        <f aca="false">SUM(H80:H83)</f>
        <v>16.5</v>
      </c>
      <c r="K84" s="28" t="n">
        <f aca="false">SUM(K80:K83)</f>
        <v>5.80543677002463</v>
      </c>
    </row>
    <row r="86" customFormat="false" ht="15" hidden="false" customHeight="true" outlineLevel="0" collapsed="false">
      <c r="A86" s="20" t="s">
        <v>63</v>
      </c>
    </row>
    <row r="87" customFormat="false" ht="15" hidden="false" customHeight="true" outlineLevel="0" collapsed="false">
      <c r="A87" s="29" t="s">
        <v>64</v>
      </c>
      <c r="B87" s="30" t="n">
        <f aca="false">COUNT(B80:B83)</f>
        <v>4</v>
      </c>
      <c r="C87" s="31" t="s">
        <v>65</v>
      </c>
    </row>
    <row r="88" customFormat="false" ht="15" hidden="false" customHeight="true" outlineLevel="0" collapsed="false">
      <c r="A88" s="29" t="s">
        <v>66</v>
      </c>
      <c r="B88" s="32" t="n">
        <f aca="false">AVERAGE(B80:B83)</f>
        <v>51.675</v>
      </c>
      <c r="C88" s="31" t="s">
        <v>67</v>
      </c>
    </row>
    <row r="89" customFormat="false" ht="15" hidden="false" customHeight="true" outlineLevel="0" collapsed="false">
      <c r="A89" s="29" t="s">
        <v>68</v>
      </c>
      <c r="B89" s="32" t="n">
        <f aca="false">AVERAGE(C80:C83)</f>
        <v>4.5</v>
      </c>
      <c r="C89" s="31" t="s">
        <v>69</v>
      </c>
    </row>
    <row r="90" customFormat="false" ht="15" hidden="false" customHeight="true" outlineLevel="0" collapsed="false">
      <c r="A90" s="29" t="s">
        <v>70</v>
      </c>
      <c r="B90" s="32" t="n">
        <f aca="false">G84</f>
        <v>910.3475</v>
      </c>
      <c r="C90" s="31" t="s">
        <v>71</v>
      </c>
    </row>
    <row r="91" customFormat="false" ht="15" hidden="false" customHeight="true" outlineLevel="0" collapsed="false">
      <c r="A91" s="29" t="s">
        <v>72</v>
      </c>
      <c r="B91" s="32" t="n">
        <f aca="false">F84</f>
        <v>98.67</v>
      </c>
      <c r="C91" s="31" t="s">
        <v>73</v>
      </c>
    </row>
    <row r="92" customFormat="false" ht="15" hidden="false" customHeight="true" outlineLevel="0" collapsed="false">
      <c r="A92" s="29" t="s">
        <v>74</v>
      </c>
      <c r="B92" s="32" t="n">
        <f aca="false">H84</f>
        <v>16.5</v>
      </c>
      <c r="C92" s="31" t="s">
        <v>75</v>
      </c>
    </row>
    <row r="93" customFormat="false" ht="15" hidden="false" customHeight="true" outlineLevel="0" collapsed="false">
      <c r="A93" s="29" t="s">
        <v>76</v>
      </c>
      <c r="B93" s="33" t="n">
        <f aca="false">B89-B94*B88</f>
        <v>-1.10090762044165</v>
      </c>
      <c r="C93" s="31" t="s">
        <v>77</v>
      </c>
    </row>
    <row r="94" customFormat="false" ht="15" hidden="false" customHeight="true" outlineLevel="0" collapsed="false">
      <c r="A94" s="29" t="s">
        <v>78</v>
      </c>
      <c r="B94" s="34" t="n">
        <f aca="false">B91/B90</f>
        <v>0.108387181817932</v>
      </c>
      <c r="C94" s="31" t="s">
        <v>79</v>
      </c>
    </row>
    <row r="95" customFormat="false" ht="15" hidden="false" customHeight="true" outlineLevel="0" collapsed="false">
      <c r="A95" s="29" t="s">
        <v>80</v>
      </c>
      <c r="B95" s="32" t="n">
        <f aca="false">B92</f>
        <v>16.5</v>
      </c>
      <c r="C95" s="31" t="s">
        <v>74</v>
      </c>
    </row>
    <row r="96" customFormat="false" ht="15" hidden="false" customHeight="true" outlineLevel="0" collapsed="false">
      <c r="A96" s="29" t="s">
        <v>81</v>
      </c>
      <c r="B96" s="32" t="n">
        <f aca="false">K84</f>
        <v>5.80543677002463</v>
      </c>
      <c r="C96" s="31" t="s">
        <v>82</v>
      </c>
    </row>
    <row r="97" customFormat="false" ht="15" hidden="false" customHeight="true" outlineLevel="0" collapsed="false">
      <c r="A97" s="29" t="s">
        <v>83</v>
      </c>
      <c r="B97" s="35" t="n">
        <f aca="false">1-B96/B95</f>
        <v>0.648155347271235</v>
      </c>
      <c r="C97" s="31" t="s">
        <v>84</v>
      </c>
    </row>
    <row r="98" customFormat="false" ht="15" hidden="false" customHeight="true" outlineLevel="0" collapsed="false">
      <c r="A98" s="29" t="s">
        <v>4</v>
      </c>
      <c r="B98" s="36" t="n">
        <f aca="false">B91/SQRT(B90*B92)</f>
        <v>0.805080956967207</v>
      </c>
      <c r="C98" s="31" t="s">
        <v>85</v>
      </c>
    </row>
    <row r="99" customFormat="false" ht="15" hidden="false" customHeight="true" outlineLevel="0" collapsed="false">
      <c r="A99" s="29" t="s">
        <v>86</v>
      </c>
      <c r="B99" s="33" t="n">
        <f aca="false">SQRT(B96/((B87-2)*B90))</f>
        <v>0.0564675376205784</v>
      </c>
      <c r="C99" s="31" t="s">
        <v>87</v>
      </c>
    </row>
    <row r="100" customFormat="false" ht="15" hidden="false" customHeight="true" outlineLevel="0" collapsed="false">
      <c r="A100" s="29" t="s">
        <v>88</v>
      </c>
      <c r="B100" s="30" t="n">
        <f aca="false">B87-2</f>
        <v>2</v>
      </c>
      <c r="C100" s="31" t="s">
        <v>89</v>
      </c>
    </row>
    <row r="101" customFormat="false" ht="15" hidden="false" customHeight="true" outlineLevel="0" collapsed="false">
      <c r="A101" s="29" t="s">
        <v>90</v>
      </c>
      <c r="B101" s="35" t="n">
        <f aca="false">B94/B99</f>
        <v>1.91946003642335</v>
      </c>
      <c r="C101" s="31" t="s">
        <v>91</v>
      </c>
    </row>
    <row r="102" customFormat="false" ht="15" hidden="false" customHeight="true" outlineLevel="0" collapsed="false">
      <c r="A102" s="29" t="s">
        <v>92</v>
      </c>
      <c r="B102" s="36" t="n">
        <f aca="false">TDIST(ABS(B101),B100,2)</f>
        <v>0.194919043032793</v>
      </c>
      <c r="C102" s="31" t="s">
        <v>93</v>
      </c>
      <c r="D102" s="37" t="str">
        <f aca="false">IF(B102&lt;0.05,"significant at 5%",IF(B102&lt;0.1,"significant at 10%","NOT significant at 10%"))</f>
        <v>NOT significant at 10%</v>
      </c>
    </row>
    <row r="103" customFormat="false" ht="15" hidden="false" customHeight="true" outlineLevel="0" collapsed="false">
      <c r="A103" s="29" t="s">
        <v>94</v>
      </c>
      <c r="B103" s="35" t="n">
        <f aca="false">TINV(0.05,B100)</f>
        <v>4.30265272974946</v>
      </c>
      <c r="C103" s="31" t="s">
        <v>95</v>
      </c>
    </row>
    <row r="104" customFormat="false" ht="15" hidden="false" customHeight="true" outlineLevel="0" collapsed="false">
      <c r="A104" s="29" t="s">
        <v>96</v>
      </c>
      <c r="B104" s="38" t="n">
        <f aca="false">B94-B103*B99</f>
        <v>-0.13457302306748</v>
      </c>
      <c r="C104" s="31" t="s">
        <v>97</v>
      </c>
    </row>
    <row r="105" customFormat="false" ht="15" hidden="false" customHeight="true" outlineLevel="0" collapsed="false">
      <c r="A105" s="29" t="s">
        <v>98</v>
      </c>
      <c r="B105" s="38" t="n">
        <f aca="false">B94+B103*B99</f>
        <v>0.351347386703344</v>
      </c>
      <c r="C105" s="31" t="s">
        <v>99</v>
      </c>
    </row>
    <row r="107" customFormat="false" ht="15" hidden="false" customHeight="true" outlineLevel="0" collapsed="false">
      <c r="A107" s="39" t="s">
        <v>100</v>
      </c>
    </row>
    <row r="108" customFormat="false" ht="15" hidden="false" customHeight="true" outlineLevel="0" collapsed="false">
      <c r="A108" s="40" t="s">
        <v>101</v>
      </c>
      <c r="B108" s="41" t="n">
        <f aca="false">CORREL(C80:C83,B80:B83)</f>
        <v>0.805080956967207</v>
      </c>
    </row>
    <row r="109" customFormat="false" ht="15" hidden="false" customHeight="true" outlineLevel="0" collapsed="false">
      <c r="A109" s="40" t="s">
        <v>102</v>
      </c>
      <c r="B109" s="41" t="n">
        <f aca="false">SLOPE(C80:C83,B80:B83)</f>
        <v>0.108387181817932</v>
      </c>
    </row>
    <row r="110" customFormat="false" ht="15" hidden="false" customHeight="true" outlineLevel="0" collapsed="false">
      <c r="A110" s="40" t="s">
        <v>103</v>
      </c>
      <c r="B110" s="41" t="n">
        <f aca="false">INTERCEPT(C80:C83,B80:B83)</f>
        <v>-1.10090762044165</v>
      </c>
    </row>
    <row r="111" customFormat="false" ht="15" hidden="false" customHeight="true" outlineLevel="0" collapsed="false">
      <c r="A111" s="40" t="s">
        <v>104</v>
      </c>
      <c r="B111" s="41" t="n">
        <f aca="false">RSQ(C80:C83,B80:B83)</f>
        <v>0.648155347271235</v>
      </c>
    </row>
    <row r="112" customFormat="false" ht="15" hidden="false" customHeight="true" outlineLevel="0" collapsed="false">
      <c r="A112" s="40" t="s">
        <v>105</v>
      </c>
      <c r="B112" s="41" t="n">
        <f aca="false">STEYX(C80:C83,B80:B83)/SQRT(B90)</f>
        <v>0.0564675376205784</v>
      </c>
    </row>
    <row r="115" customFormat="false" ht="15" hidden="false" customHeight="true" outlineLevel="0" collapsed="false">
      <c r="A115" s="20" t="s">
        <v>108</v>
      </c>
    </row>
    <row r="116" customFormat="false" ht="18.75" hidden="false" customHeight="true" outlineLevel="0" collapsed="false">
      <c r="A116" s="24" t="s">
        <v>36</v>
      </c>
      <c r="B116" s="24" t="s">
        <v>38</v>
      </c>
      <c r="C116" s="24" t="s">
        <v>53</v>
      </c>
      <c r="D116" s="24" t="s">
        <v>54</v>
      </c>
      <c r="E116" s="24" t="s">
        <v>55</v>
      </c>
      <c r="F116" s="24" t="s">
        <v>56</v>
      </c>
      <c r="G116" s="24" t="s">
        <v>57</v>
      </c>
      <c r="H116" s="24" t="s">
        <v>58</v>
      </c>
      <c r="I116" s="24" t="s">
        <v>59</v>
      </c>
      <c r="J116" s="24" t="s">
        <v>60</v>
      </c>
      <c r="K116" s="24" t="s">
        <v>61</v>
      </c>
    </row>
    <row r="117" customFormat="false" ht="15" hidden="false" customHeight="true" outlineLevel="0" collapsed="false">
      <c r="A117" s="25" t="str">
        <f aca="false">Data!B17</f>
        <v>FY2024</v>
      </c>
      <c r="B117" s="26" t="n">
        <f aca="false">Data!D17</f>
        <v>24.5</v>
      </c>
      <c r="C117" s="26" t="n">
        <f aca="false">Data!E17</f>
        <v>9.5</v>
      </c>
      <c r="D117" s="23" t="n">
        <f aca="false">B117-$B$125</f>
        <v>4.525</v>
      </c>
      <c r="E117" s="23" t="n">
        <f aca="false">C117-$B$126</f>
        <v>1.625</v>
      </c>
      <c r="F117" s="23" t="n">
        <f aca="false">D117*E117</f>
        <v>7.353125</v>
      </c>
      <c r="G117" s="23" t="n">
        <f aca="false">D117^2</f>
        <v>20.475625</v>
      </c>
      <c r="H117" s="23" t="n">
        <f aca="false">E117^2</f>
        <v>2.640625</v>
      </c>
      <c r="I117" s="23" t="n">
        <f aca="false">$B$130+$B$131*B117</f>
        <v>9.56895255988727</v>
      </c>
      <c r="J117" s="23" t="n">
        <f aca="false">C117-I117</f>
        <v>-0.0689525598872702</v>
      </c>
      <c r="K117" s="23" t="n">
        <f aca="false">J117^2</f>
        <v>0.00475445551500759</v>
      </c>
    </row>
    <row r="118" customFormat="false" ht="15" hidden="false" customHeight="true" outlineLevel="0" collapsed="false">
      <c r="A118" s="25" t="str">
        <f aca="false">Data!B18</f>
        <v>FY2025</v>
      </c>
      <c r="B118" s="26" t="n">
        <f aca="false">Data!D18</f>
        <v>27.2</v>
      </c>
      <c r="C118" s="26" t="n">
        <f aca="false">Data!E18</f>
        <v>10.6</v>
      </c>
      <c r="D118" s="23" t="n">
        <f aca="false">B118-$B$125</f>
        <v>7.225</v>
      </c>
      <c r="E118" s="23" t="n">
        <f aca="false">C118-$B$126</f>
        <v>2.725</v>
      </c>
      <c r="F118" s="23" t="n">
        <f aca="false">D118*E118</f>
        <v>19.688125</v>
      </c>
      <c r="G118" s="23" t="n">
        <f aca="false">D118^2</f>
        <v>52.200625</v>
      </c>
      <c r="H118" s="23" t="n">
        <f aca="false">E118^2</f>
        <v>7.425625</v>
      </c>
      <c r="I118" s="23" t="n">
        <f aca="false">$B$130+$B$131*B118</f>
        <v>10.5797087834664</v>
      </c>
      <c r="J118" s="23" t="n">
        <f aca="false">C118-I118</f>
        <v>0.0202912165335842</v>
      </c>
      <c r="K118" s="23" t="n">
        <f aca="false">J118^2</f>
        <v>0.000411733468412802</v>
      </c>
    </row>
    <row r="119" customFormat="false" ht="15" hidden="false" customHeight="true" outlineLevel="0" collapsed="false">
      <c r="A119" s="25" t="str">
        <f aca="false">Data!B19</f>
        <v>H1 2025</v>
      </c>
      <c r="B119" s="26" t="n">
        <f aca="false">Data!D19</f>
        <v>13.1</v>
      </c>
      <c r="C119" s="26" t="n">
        <f aca="false">Data!E19</f>
        <v>5.1</v>
      </c>
      <c r="D119" s="23" t="n">
        <f aca="false">B119-$B$125</f>
        <v>-6.875</v>
      </c>
      <c r="E119" s="23" t="n">
        <f aca="false">C119-$B$126</f>
        <v>-2.775</v>
      </c>
      <c r="F119" s="23" t="n">
        <f aca="false">D119*E119</f>
        <v>19.078125</v>
      </c>
      <c r="G119" s="23" t="n">
        <f aca="false">D119^2</f>
        <v>47.265625</v>
      </c>
      <c r="H119" s="23" t="n">
        <f aca="false">E119^2</f>
        <v>7.700625</v>
      </c>
      <c r="I119" s="23" t="n">
        <f aca="false">$B$130+$B$131*B119</f>
        <v>5.30131517144199</v>
      </c>
      <c r="J119" s="23" t="n">
        <f aca="false">C119-I119</f>
        <v>-0.201315171441991</v>
      </c>
      <c r="K119" s="23" t="n">
        <f aca="false">J119^2</f>
        <v>0.040527798252718</v>
      </c>
    </row>
    <row r="120" customFormat="false" ht="15" hidden="false" customHeight="true" outlineLevel="0" collapsed="false">
      <c r="A120" s="25" t="str">
        <f aca="false">Data!B20</f>
        <v>H1 2026</v>
      </c>
      <c r="B120" s="26" t="n">
        <f aca="false">Data!D20</f>
        <v>15.1</v>
      </c>
      <c r="C120" s="26" t="n">
        <f aca="false">Data!E20</f>
        <v>6.3</v>
      </c>
      <c r="D120" s="23" t="n">
        <f aca="false">B120-$B$125</f>
        <v>-4.875</v>
      </c>
      <c r="E120" s="23" t="n">
        <f aca="false">C120-$B$126</f>
        <v>-1.575</v>
      </c>
      <c r="F120" s="23" t="n">
        <f aca="false">D120*E120</f>
        <v>7.678125</v>
      </c>
      <c r="G120" s="23" t="n">
        <f aca="false">D120^2</f>
        <v>23.765625</v>
      </c>
      <c r="H120" s="23" t="n">
        <f aca="false">E120^2</f>
        <v>2.480625</v>
      </c>
      <c r="I120" s="23" t="n">
        <f aca="false">$B$130+$B$131*B120</f>
        <v>6.05002348520432</v>
      </c>
      <c r="J120" s="23" t="n">
        <f aca="false">C120-I120</f>
        <v>0.249976514795679</v>
      </c>
      <c r="K120" s="23" t="n">
        <f aca="false">J120^2</f>
        <v>0.0624882579493944</v>
      </c>
    </row>
    <row r="121" customFormat="false" ht="15" hidden="false" customHeight="true" outlineLevel="0" collapsed="false">
      <c r="A121" s="27" t="s">
        <v>62</v>
      </c>
      <c r="F121" s="28" t="n">
        <f aca="false">SUM(F117:F120)</f>
        <v>53.7975</v>
      </c>
      <c r="G121" s="28" t="n">
        <f aca="false">SUM(G117:G120)</f>
        <v>143.7075</v>
      </c>
      <c r="H121" s="28" t="n">
        <f aca="false">SUM(H117:H120)</f>
        <v>20.2475</v>
      </c>
      <c r="K121" s="28" t="n">
        <f aca="false">SUM(K117:K120)</f>
        <v>0.108182245185533</v>
      </c>
    </row>
    <row r="123" customFormat="false" ht="15" hidden="false" customHeight="true" outlineLevel="0" collapsed="false">
      <c r="A123" s="20" t="s">
        <v>63</v>
      </c>
    </row>
    <row r="124" customFormat="false" ht="15" hidden="false" customHeight="true" outlineLevel="0" collapsed="false">
      <c r="A124" s="29" t="s">
        <v>64</v>
      </c>
      <c r="B124" s="30" t="n">
        <f aca="false">COUNT(B117:B120)</f>
        <v>4</v>
      </c>
      <c r="C124" s="31" t="s">
        <v>65</v>
      </c>
    </row>
    <row r="125" customFormat="false" ht="15" hidden="false" customHeight="true" outlineLevel="0" collapsed="false">
      <c r="A125" s="29" t="s">
        <v>66</v>
      </c>
      <c r="B125" s="32" t="n">
        <f aca="false">AVERAGE(B117:B120)</f>
        <v>19.975</v>
      </c>
      <c r="C125" s="31" t="s">
        <v>67</v>
      </c>
    </row>
    <row r="126" customFormat="false" ht="15" hidden="false" customHeight="true" outlineLevel="0" collapsed="false">
      <c r="A126" s="29" t="s">
        <v>68</v>
      </c>
      <c r="B126" s="32" t="n">
        <f aca="false">AVERAGE(C117:C120)</f>
        <v>7.875</v>
      </c>
      <c r="C126" s="31" t="s">
        <v>69</v>
      </c>
    </row>
    <row r="127" customFormat="false" ht="15" hidden="false" customHeight="true" outlineLevel="0" collapsed="false">
      <c r="A127" s="29" t="s">
        <v>70</v>
      </c>
      <c r="B127" s="32" t="n">
        <f aca="false">G121</f>
        <v>143.7075</v>
      </c>
      <c r="C127" s="31" t="s">
        <v>71</v>
      </c>
    </row>
    <row r="128" customFormat="false" ht="15" hidden="false" customHeight="true" outlineLevel="0" collapsed="false">
      <c r="A128" s="29" t="s">
        <v>72</v>
      </c>
      <c r="B128" s="32" t="n">
        <f aca="false">F121</f>
        <v>53.7975</v>
      </c>
      <c r="C128" s="31" t="s">
        <v>73</v>
      </c>
    </row>
    <row r="129" customFormat="false" ht="15" hidden="false" customHeight="true" outlineLevel="0" collapsed="false">
      <c r="A129" s="29" t="s">
        <v>74</v>
      </c>
      <c r="B129" s="32" t="n">
        <f aca="false">H121</f>
        <v>20.2475</v>
      </c>
      <c r="C129" s="31" t="s">
        <v>75</v>
      </c>
    </row>
    <row r="130" customFormat="false" ht="15" hidden="false" customHeight="true" outlineLevel="0" collapsed="false">
      <c r="A130" s="29" t="s">
        <v>76</v>
      </c>
      <c r="B130" s="33" t="n">
        <f aca="false">B126-B131*B125</f>
        <v>0.397275716298731</v>
      </c>
      <c r="C130" s="31" t="s">
        <v>77</v>
      </c>
    </row>
    <row r="131" customFormat="false" ht="15" hidden="false" customHeight="true" outlineLevel="0" collapsed="false">
      <c r="A131" s="29" t="s">
        <v>78</v>
      </c>
      <c r="B131" s="34" t="n">
        <f aca="false">B128/B127</f>
        <v>0.374354156881165</v>
      </c>
      <c r="C131" s="31" t="s">
        <v>79</v>
      </c>
    </row>
    <row r="132" customFormat="false" ht="15" hidden="false" customHeight="true" outlineLevel="0" collapsed="false">
      <c r="A132" s="29" t="s">
        <v>80</v>
      </c>
      <c r="B132" s="32" t="n">
        <f aca="false">B129</f>
        <v>20.2475</v>
      </c>
      <c r="C132" s="31" t="s">
        <v>74</v>
      </c>
    </row>
    <row r="133" customFormat="false" ht="15" hidden="false" customHeight="true" outlineLevel="0" collapsed="false">
      <c r="A133" s="29" t="s">
        <v>81</v>
      </c>
      <c r="B133" s="32" t="n">
        <f aca="false">K121</f>
        <v>0.108182245185533</v>
      </c>
      <c r="C133" s="31" t="s">
        <v>82</v>
      </c>
    </row>
    <row r="134" customFormat="false" ht="15" hidden="false" customHeight="true" outlineLevel="0" collapsed="false">
      <c r="A134" s="29" t="s">
        <v>83</v>
      </c>
      <c r="B134" s="35" t="n">
        <f aca="false">1-B133/B132</f>
        <v>0.994657007275687</v>
      </c>
      <c r="C134" s="31" t="s">
        <v>84</v>
      </c>
    </row>
    <row r="135" customFormat="false" ht="15" hidden="false" customHeight="true" outlineLevel="0" collapsed="false">
      <c r="A135" s="29" t="s">
        <v>4</v>
      </c>
      <c r="B135" s="36" t="n">
        <f aca="false">B128/SQRT(B127*B129)</f>
        <v>0.997324925626391</v>
      </c>
      <c r="C135" s="31" t="s">
        <v>85</v>
      </c>
    </row>
    <row r="136" customFormat="false" ht="15" hidden="false" customHeight="true" outlineLevel="0" collapsed="false">
      <c r="A136" s="29" t="s">
        <v>86</v>
      </c>
      <c r="B136" s="33" t="n">
        <f aca="false">SQRT(B133/((B124-2)*B127))</f>
        <v>0.0194009626798824</v>
      </c>
      <c r="C136" s="31" t="s">
        <v>87</v>
      </c>
    </row>
    <row r="137" customFormat="false" ht="15" hidden="false" customHeight="true" outlineLevel="0" collapsed="false">
      <c r="A137" s="29" t="s">
        <v>88</v>
      </c>
      <c r="B137" s="30" t="n">
        <f aca="false">B124-2</f>
        <v>2</v>
      </c>
      <c r="C137" s="31" t="s">
        <v>89</v>
      </c>
    </row>
    <row r="138" customFormat="false" ht="15" hidden="false" customHeight="true" outlineLevel="0" collapsed="false">
      <c r="A138" s="29" t="s">
        <v>90</v>
      </c>
      <c r="B138" s="35" t="n">
        <f aca="false">B131/B136</f>
        <v>19.2956485231192</v>
      </c>
      <c r="C138" s="31" t="s">
        <v>91</v>
      </c>
    </row>
    <row r="139" customFormat="false" ht="15" hidden="false" customHeight="true" outlineLevel="0" collapsed="false">
      <c r="A139" s="29" t="s">
        <v>92</v>
      </c>
      <c r="B139" s="36" t="n">
        <f aca="false">TDIST(ABS(B138),B137,2)</f>
        <v>0.0026750743736088</v>
      </c>
      <c r="C139" s="31" t="s">
        <v>93</v>
      </c>
      <c r="D139" s="37" t="str">
        <f aca="false">IF(B139&lt;0.05,"significant at 5%",IF(B139&lt;0.1,"significant at 10%","NOT significant at 10%"))</f>
        <v>significant at 5%</v>
      </c>
    </row>
    <row r="140" customFormat="false" ht="15" hidden="false" customHeight="true" outlineLevel="0" collapsed="false">
      <c r="A140" s="29" t="s">
        <v>94</v>
      </c>
      <c r="B140" s="35" t="n">
        <f aca="false">TINV(0.05,B137)</f>
        <v>4.30265272974946</v>
      </c>
      <c r="C140" s="31" t="s">
        <v>95</v>
      </c>
    </row>
    <row r="141" customFormat="false" ht="15" hidden="false" customHeight="true" outlineLevel="0" collapsed="false">
      <c r="A141" s="29" t="s">
        <v>96</v>
      </c>
      <c r="B141" s="38" t="n">
        <f aca="false">B131-B140*B136</f>
        <v>0.290878551846801</v>
      </c>
      <c r="C141" s="31" t="s">
        <v>97</v>
      </c>
    </row>
    <row r="142" customFormat="false" ht="15" hidden="false" customHeight="true" outlineLevel="0" collapsed="false">
      <c r="A142" s="29" t="s">
        <v>98</v>
      </c>
      <c r="B142" s="38" t="n">
        <f aca="false">B131+B140*B136</f>
        <v>0.457829761915529</v>
      </c>
      <c r="C142" s="31" t="s">
        <v>99</v>
      </c>
    </row>
    <row r="144" customFormat="false" ht="15" hidden="false" customHeight="true" outlineLevel="0" collapsed="false">
      <c r="A144" s="39" t="s">
        <v>100</v>
      </c>
    </row>
    <row r="145" customFormat="false" ht="15" hidden="false" customHeight="true" outlineLevel="0" collapsed="false">
      <c r="A145" s="40" t="s">
        <v>101</v>
      </c>
      <c r="B145" s="41" t="n">
        <f aca="false">CORREL(C117:C120,B117:B120)</f>
        <v>0.997324925626391</v>
      </c>
    </row>
    <row r="146" customFormat="false" ht="15" hidden="false" customHeight="true" outlineLevel="0" collapsed="false">
      <c r="A146" s="40" t="s">
        <v>102</v>
      </c>
      <c r="B146" s="41" t="n">
        <f aca="false">SLOPE(C117:C120,B117:B120)</f>
        <v>0.374354156881165</v>
      </c>
    </row>
    <row r="147" customFormat="false" ht="15" hidden="false" customHeight="true" outlineLevel="0" collapsed="false">
      <c r="A147" s="40" t="s">
        <v>103</v>
      </c>
      <c r="B147" s="41" t="n">
        <f aca="false">INTERCEPT(C117:C120,B117:B120)</f>
        <v>0.39727571629873</v>
      </c>
    </row>
    <row r="148" customFormat="false" ht="15" hidden="false" customHeight="true" outlineLevel="0" collapsed="false">
      <c r="A148" s="40" t="s">
        <v>104</v>
      </c>
      <c r="B148" s="41" t="n">
        <f aca="false">RSQ(C117:C120,B117:B120)</f>
        <v>0.994657007275687</v>
      </c>
    </row>
    <row r="149" customFormat="false" ht="15" hidden="false" customHeight="true" outlineLevel="0" collapsed="false">
      <c r="A149" s="40" t="s">
        <v>105</v>
      </c>
      <c r="B149" s="41" t="n">
        <f aca="false">STEYX(C117:C120,B117:B120)/SQRT(B127)</f>
        <v>0.0194009626798822</v>
      </c>
    </row>
    <row r="152" customFormat="false" ht="15" hidden="false" customHeight="true" outlineLevel="0" collapsed="false">
      <c r="A152" s="20" t="s">
        <v>109</v>
      </c>
    </row>
    <row r="153" customFormat="false" ht="18.75" hidden="false" customHeight="true" outlineLevel="0" collapsed="false">
      <c r="A153" s="24" t="s">
        <v>36</v>
      </c>
      <c r="B153" s="24" t="s">
        <v>38</v>
      </c>
      <c r="C153" s="24" t="s">
        <v>53</v>
      </c>
      <c r="D153" s="24" t="s">
        <v>54</v>
      </c>
      <c r="E153" s="24" t="s">
        <v>55</v>
      </c>
      <c r="F153" s="24" t="s">
        <v>56</v>
      </c>
      <c r="G153" s="24" t="s">
        <v>57</v>
      </c>
      <c r="H153" s="24" t="s">
        <v>58</v>
      </c>
      <c r="I153" s="24" t="s">
        <v>59</v>
      </c>
      <c r="J153" s="24" t="s">
        <v>60</v>
      </c>
      <c r="K153" s="24" t="s">
        <v>61</v>
      </c>
    </row>
    <row r="154" customFormat="false" ht="15" hidden="false" customHeight="true" outlineLevel="0" collapsed="false">
      <c r="A154" s="25" t="str">
        <f aca="false">Data!A5</f>
        <v>Broking</v>
      </c>
      <c r="B154" s="26" t="n">
        <f aca="false">Data!D5</f>
        <v>529.3</v>
      </c>
      <c r="C154" s="26" t="n">
        <f aca="false">Data!E5</f>
        <v>122.6</v>
      </c>
      <c r="D154" s="23" t="n">
        <f aca="false">B154-$B$174</f>
        <v>404.04375</v>
      </c>
      <c r="E154" s="23" t="n">
        <f aca="false">C154-$B$175</f>
        <v>97.16875</v>
      </c>
      <c r="F154" s="23" t="n">
        <f aca="false">D154*E154</f>
        <v>39260.4261328125</v>
      </c>
      <c r="G154" s="23" t="n">
        <f aca="false">D154^2</f>
        <v>163251.351914062</v>
      </c>
      <c r="H154" s="23" t="n">
        <f aca="false">E154^2</f>
        <v>9441.7659765625</v>
      </c>
      <c r="I154" s="23" t="n">
        <f aca="false">$B$179+$B$180*B154</f>
        <v>112.696525247876</v>
      </c>
      <c r="J154" s="23" t="n">
        <f aca="false">C154-I154</f>
        <v>9.90347475212447</v>
      </c>
      <c r="K154" s="23" t="n">
        <f aca="false">J154^2</f>
        <v>98.0788121659668</v>
      </c>
    </row>
    <row r="155" customFormat="false" ht="15" hidden="false" customHeight="true" outlineLevel="0" collapsed="false">
      <c r="A155" s="25" t="str">
        <f aca="false">Data!A6</f>
        <v>Broking</v>
      </c>
      <c r="B155" s="26" t="n">
        <f aca="false">Data!D6</f>
        <v>476</v>
      </c>
      <c r="C155" s="26" t="n">
        <f aca="false">Data!E6</f>
        <v>93.9</v>
      </c>
      <c r="D155" s="23" t="n">
        <f aca="false">B155-$B$174</f>
        <v>350.74375</v>
      </c>
      <c r="E155" s="23" t="n">
        <f aca="false">C155-$B$175</f>
        <v>68.46875</v>
      </c>
      <c r="F155" s="23" t="n">
        <f aca="false">D155*E155</f>
        <v>24014.9861328125</v>
      </c>
      <c r="G155" s="23" t="n">
        <f aca="false">D155^2</f>
        <v>123021.178164062</v>
      </c>
      <c r="H155" s="23" t="n">
        <f aca="false">E155^2</f>
        <v>4687.9697265625</v>
      </c>
      <c r="I155" s="23" t="n">
        <f aca="false">$B$179+$B$180*B155</f>
        <v>101.184803631809</v>
      </c>
      <c r="J155" s="23" t="n">
        <f aca="false">C155-I155</f>
        <v>-7.28480363180854</v>
      </c>
      <c r="K155" s="23" t="n">
        <f aca="false">J155^2</f>
        <v>53.0683639540109</v>
      </c>
    </row>
    <row r="156" customFormat="false" ht="15" hidden="false" customHeight="true" outlineLevel="0" collapsed="false">
      <c r="A156" s="25" t="str">
        <f aca="false">Data!A7</f>
        <v>Broking</v>
      </c>
      <c r="B156" s="26" t="n">
        <f aca="false">Data!D7</f>
        <v>222.2</v>
      </c>
      <c r="C156" s="26" t="n">
        <f aca="false">Data!E7</f>
        <v>41.8</v>
      </c>
      <c r="D156" s="23" t="n">
        <f aca="false">B156-$B$174</f>
        <v>96.94375</v>
      </c>
      <c r="E156" s="23" t="n">
        <f aca="false">C156-$B$175</f>
        <v>16.36875</v>
      </c>
      <c r="F156" s="23" t="n">
        <f aca="false">D156*E156</f>
        <v>1586.8480078125</v>
      </c>
      <c r="G156" s="23" t="n">
        <f aca="false">D156^2</f>
        <v>9398.0906640625</v>
      </c>
      <c r="H156" s="23" t="n">
        <f aca="false">E156^2</f>
        <v>267.9359765625</v>
      </c>
      <c r="I156" s="23" t="n">
        <f aca="false">$B$179+$B$180*B156</f>
        <v>46.3691386007053</v>
      </c>
      <c r="J156" s="23" t="n">
        <f aca="false">C156-I156</f>
        <v>-4.56913860070533</v>
      </c>
      <c r="K156" s="23" t="n">
        <f aca="false">J156^2</f>
        <v>20.8770275524555</v>
      </c>
    </row>
    <row r="157" customFormat="false" ht="15" hidden="false" customHeight="true" outlineLevel="0" collapsed="false">
      <c r="A157" s="25" t="str">
        <f aca="false">Data!A8</f>
        <v>Broking</v>
      </c>
      <c r="B157" s="26" t="n">
        <f aca="false">Data!D8</f>
        <v>310.3</v>
      </c>
      <c r="C157" s="26" t="n">
        <f aca="false">Data!E8</f>
        <v>64.8</v>
      </c>
      <c r="D157" s="23" t="n">
        <f aca="false">B157-$B$174</f>
        <v>185.04375</v>
      </c>
      <c r="E157" s="23" t="n">
        <f aca="false">C157-$B$175</f>
        <v>39.36875</v>
      </c>
      <c r="F157" s="23" t="n">
        <f aca="false">D157*E157</f>
        <v>7284.9411328125</v>
      </c>
      <c r="G157" s="23" t="n">
        <f aca="false">D157^2</f>
        <v>34241.1894140625</v>
      </c>
      <c r="H157" s="23" t="n">
        <f aca="false">E157^2</f>
        <v>1549.8984765625</v>
      </c>
      <c r="I157" s="23" t="n">
        <f aca="false">$B$179+$B$180*B157</f>
        <v>65.3969561312025</v>
      </c>
      <c r="J157" s="23" t="n">
        <f aca="false">C157-I157</f>
        <v>-0.596956131202546</v>
      </c>
      <c r="K157" s="23" t="n">
        <f aca="false">J157^2</f>
        <v>0.356356622580312</v>
      </c>
    </row>
    <row r="158" customFormat="false" ht="15" hidden="false" customHeight="true" outlineLevel="0" collapsed="false">
      <c r="A158" s="25" t="str">
        <f aca="false">Data!A9</f>
        <v>Financial</v>
      </c>
      <c r="B158" s="26" t="n">
        <f aca="false">Data!D9</f>
        <v>42.6</v>
      </c>
      <c r="C158" s="26" t="n">
        <f aca="false">Data!E9</f>
        <v>5.2</v>
      </c>
      <c r="D158" s="23" t="n">
        <f aca="false">B158-$B$174</f>
        <v>-82.65625</v>
      </c>
      <c r="E158" s="23" t="n">
        <f aca="false">C158-$B$175</f>
        <v>-20.23125</v>
      </c>
      <c r="F158" s="23" t="n">
        <f aca="false">D158*E158</f>
        <v>1672.2392578125</v>
      </c>
      <c r="G158" s="23" t="n">
        <f aca="false">D158^2</f>
        <v>6832.0556640625</v>
      </c>
      <c r="H158" s="23" t="n">
        <f aca="false">E158^2</f>
        <v>409.3034765625</v>
      </c>
      <c r="I158" s="23" t="n">
        <f aca="false">$B$179+$B$180*B158</f>
        <v>7.57917232968036</v>
      </c>
      <c r="J158" s="23" t="n">
        <f aca="false">C158-I158</f>
        <v>-2.37917232968036</v>
      </c>
      <c r="K158" s="23" t="n">
        <f aca="false">J158^2</f>
        <v>5.66046097431667</v>
      </c>
    </row>
    <row r="159" customFormat="false" ht="15" hidden="false" customHeight="true" outlineLevel="0" collapsed="false">
      <c r="A159" s="25" t="str">
        <f aca="false">Data!A10</f>
        <v>Financial</v>
      </c>
      <c r="B159" s="26" t="n">
        <f aca="false">Data!D10</f>
        <v>60.1</v>
      </c>
      <c r="C159" s="26" t="n">
        <f aca="false">Data!E10</f>
        <v>12.9</v>
      </c>
      <c r="D159" s="23" t="n">
        <f aca="false">B159-$B$174</f>
        <v>-65.15625</v>
      </c>
      <c r="E159" s="23" t="n">
        <f aca="false">C159-$B$175</f>
        <v>-12.53125</v>
      </c>
      <c r="F159" s="23" t="n">
        <f aca="false">D159*E159</f>
        <v>816.4892578125</v>
      </c>
      <c r="G159" s="23" t="n">
        <f aca="false">D159^2</f>
        <v>4245.3369140625</v>
      </c>
      <c r="H159" s="23" t="n">
        <f aca="false">E159^2</f>
        <v>157.0322265625</v>
      </c>
      <c r="I159" s="23" t="n">
        <f aca="false">$B$179+$B$180*B159</f>
        <v>11.3588182636611</v>
      </c>
      <c r="J159" s="23" t="n">
        <f aca="false">C159-I159</f>
        <v>1.54118173633892</v>
      </c>
      <c r="K159" s="23" t="n">
        <f aca="false">J159^2</f>
        <v>2.37524114442466</v>
      </c>
    </row>
    <row r="160" customFormat="false" ht="15" hidden="false" customHeight="true" outlineLevel="0" collapsed="false">
      <c r="A160" s="25" t="str">
        <f aca="false">Data!A11</f>
        <v>Financial</v>
      </c>
      <c r="B160" s="26" t="n">
        <f aca="false">Data!D11</f>
        <v>28.9</v>
      </c>
      <c r="C160" s="26" t="n">
        <f aca="false">Data!E11</f>
        <v>4.5</v>
      </c>
      <c r="D160" s="23" t="n">
        <f aca="false">B160-$B$174</f>
        <v>-96.35625</v>
      </c>
      <c r="E160" s="23" t="n">
        <f aca="false">C160-$B$175</f>
        <v>-20.93125</v>
      </c>
      <c r="F160" s="23" t="n">
        <f aca="false">D160*E160</f>
        <v>2016.8567578125</v>
      </c>
      <c r="G160" s="23" t="n">
        <f aca="false">D160^2</f>
        <v>9284.5269140625</v>
      </c>
      <c r="H160" s="23" t="n">
        <f aca="false">E160^2</f>
        <v>438.1172265625</v>
      </c>
      <c r="I160" s="23" t="n">
        <f aca="false">$B$179+$B$180*B160</f>
        <v>4.6202495127926</v>
      </c>
      <c r="J160" s="23" t="n">
        <f aca="false">C160-I160</f>
        <v>-0.120249512792595</v>
      </c>
      <c r="K160" s="23" t="n">
        <f aca="false">J160^2</f>
        <v>0.0144599453268565</v>
      </c>
    </row>
    <row r="161" customFormat="false" ht="15" hidden="false" customHeight="true" outlineLevel="0" collapsed="false">
      <c r="A161" s="25" t="str">
        <f aca="false">Data!A12</f>
        <v>Financial</v>
      </c>
      <c r="B161" s="26" t="n">
        <f aca="false">Data!D12</f>
        <v>48.1</v>
      </c>
      <c r="C161" s="26" t="n">
        <f aca="false">Data!E12</f>
        <v>11.7</v>
      </c>
      <c r="D161" s="23" t="n">
        <f aca="false">B161-$B$174</f>
        <v>-77.15625</v>
      </c>
      <c r="E161" s="23" t="n">
        <f aca="false">C161-$B$175</f>
        <v>-13.73125</v>
      </c>
      <c r="F161" s="23" t="n">
        <f aca="false">D161*E161</f>
        <v>1059.4517578125</v>
      </c>
      <c r="G161" s="23" t="n">
        <f aca="false">D161^2</f>
        <v>5953.0869140625</v>
      </c>
      <c r="H161" s="23" t="n">
        <f aca="false">E161^2</f>
        <v>188.5472265625</v>
      </c>
      <c r="I161" s="23" t="n">
        <f aca="false">$B$179+$B$180*B161</f>
        <v>8.76706105178858</v>
      </c>
      <c r="J161" s="23" t="n">
        <f aca="false">C161-I161</f>
        <v>2.93293894821142</v>
      </c>
      <c r="K161" s="23" t="n">
        <f aca="false">J161^2</f>
        <v>8.60213087393548</v>
      </c>
    </row>
    <row r="162" customFormat="false" ht="15" hidden="false" customHeight="true" outlineLevel="0" collapsed="false">
      <c r="A162" s="25" t="str">
        <f aca="false">Data!A13</f>
        <v>Support</v>
      </c>
      <c r="B162" s="26" t="n">
        <f aca="false">Data!D13</f>
        <v>65</v>
      </c>
      <c r="C162" s="26" t="n">
        <f aca="false">Data!E13</f>
        <v>7.7</v>
      </c>
      <c r="D162" s="23" t="n">
        <f aca="false">B162-$B$174</f>
        <v>-60.25625</v>
      </c>
      <c r="E162" s="23" t="n">
        <f aca="false">C162-$B$175</f>
        <v>-17.73125</v>
      </c>
      <c r="F162" s="23" t="n">
        <f aca="false">D162*E162</f>
        <v>1068.4186328125</v>
      </c>
      <c r="G162" s="23" t="n">
        <f aca="false">D162^2</f>
        <v>3630.8156640625</v>
      </c>
      <c r="H162" s="23" t="n">
        <f aca="false">E162^2</f>
        <v>314.3972265625</v>
      </c>
      <c r="I162" s="23" t="n">
        <f aca="false">$B$179+$B$180*B162</f>
        <v>12.4171191251757</v>
      </c>
      <c r="J162" s="23" t="n">
        <f aca="false">C162-I162</f>
        <v>-4.71711912517568</v>
      </c>
      <c r="K162" s="23" t="n">
        <f aca="false">J162^2</f>
        <v>22.2512128410981</v>
      </c>
    </row>
    <row r="163" customFormat="false" ht="15" hidden="false" customHeight="true" outlineLevel="0" collapsed="false">
      <c r="A163" s="25" t="str">
        <f aca="false">Data!A14</f>
        <v>Support</v>
      </c>
      <c r="B163" s="26" t="n">
        <f aca="false">Data!D14</f>
        <v>68.1</v>
      </c>
      <c r="C163" s="26" t="n">
        <f aca="false">Data!E14</f>
        <v>4.8</v>
      </c>
      <c r="D163" s="23" t="n">
        <f aca="false">B163-$B$174</f>
        <v>-57.15625</v>
      </c>
      <c r="E163" s="23" t="n">
        <f aca="false">C163-$B$175</f>
        <v>-20.63125</v>
      </c>
      <c r="F163" s="23" t="n">
        <f aca="false">D163*E163</f>
        <v>1179.2048828125</v>
      </c>
      <c r="G163" s="23" t="n">
        <f aca="false">D163^2</f>
        <v>3266.8369140625</v>
      </c>
      <c r="H163" s="23" t="n">
        <f aca="false">E163^2</f>
        <v>425.6484765625</v>
      </c>
      <c r="I163" s="23" t="n">
        <f aca="false">$B$179+$B$180*B163</f>
        <v>13.0866564049094</v>
      </c>
      <c r="J163" s="23" t="n">
        <f aca="false">C163-I163</f>
        <v>-8.2866564049094</v>
      </c>
      <c r="K163" s="23" t="n">
        <f aca="false">J163^2</f>
        <v>68.6686743730261</v>
      </c>
    </row>
    <row r="164" customFormat="false" ht="15" hidden="false" customHeight="true" outlineLevel="0" collapsed="false">
      <c r="A164" s="25" t="str">
        <f aca="false">Data!A15</f>
        <v>Support</v>
      </c>
      <c r="B164" s="26" t="n">
        <f aca="false">Data!D15</f>
        <v>33.6</v>
      </c>
      <c r="C164" s="26" t="n">
        <f aca="false">Data!E15</f>
        <v>2.9</v>
      </c>
      <c r="D164" s="23" t="n">
        <f aca="false">B164-$B$174</f>
        <v>-91.65625</v>
      </c>
      <c r="E164" s="23" t="n">
        <f aca="false">C164-$B$175</f>
        <v>-22.53125</v>
      </c>
      <c r="F164" s="23" t="n">
        <f aca="false">D164*E164</f>
        <v>2065.1298828125</v>
      </c>
      <c r="G164" s="23" t="n">
        <f aca="false">D164^2</f>
        <v>8400.8681640625</v>
      </c>
      <c r="H164" s="23" t="n">
        <f aca="false">E164^2</f>
        <v>507.6572265625</v>
      </c>
      <c r="I164" s="23" t="n">
        <f aca="false">$B$179+$B$180*B164</f>
        <v>5.63535442077599</v>
      </c>
      <c r="J164" s="23" t="n">
        <f aca="false">C164-I164</f>
        <v>-2.73535442077599</v>
      </c>
      <c r="K164" s="23" t="n">
        <f aca="false">J164^2</f>
        <v>7.48216380725875</v>
      </c>
    </row>
    <row r="165" customFormat="false" ht="15" hidden="false" customHeight="true" outlineLevel="0" collapsed="false">
      <c r="A165" s="25" t="str">
        <f aca="false">Data!A16</f>
        <v>Support</v>
      </c>
      <c r="B165" s="26" t="n">
        <f aca="false">Data!D16</f>
        <v>40</v>
      </c>
      <c r="C165" s="26" t="n">
        <f aca="false">Data!E16</f>
        <v>2.6</v>
      </c>
      <c r="D165" s="23" t="n">
        <f aca="false">B165-$B$174</f>
        <v>-85.25625</v>
      </c>
      <c r="E165" s="23" t="n">
        <f aca="false">C165-$B$175</f>
        <v>-22.83125</v>
      </c>
      <c r="F165" s="23" t="n">
        <f aca="false">D165*E165</f>
        <v>1946.5067578125</v>
      </c>
      <c r="G165" s="23" t="n">
        <f aca="false">D165^2</f>
        <v>7268.6281640625</v>
      </c>
      <c r="H165" s="23" t="n">
        <f aca="false">E165^2</f>
        <v>521.2659765625</v>
      </c>
      <c r="I165" s="23" t="n">
        <f aca="false">$B$179+$B$180*B165</f>
        <v>7.01762493377465</v>
      </c>
      <c r="J165" s="23" t="n">
        <f aca="false">C165-I165</f>
        <v>-4.41762493377465</v>
      </c>
      <c r="K165" s="23" t="n">
        <f aca="false">J165^2</f>
        <v>19.5154100555075</v>
      </c>
    </row>
    <row r="166" customFormat="false" ht="15" hidden="false" customHeight="true" outlineLevel="0" collapsed="false">
      <c r="A166" s="25" t="str">
        <f aca="false">Data!A17</f>
        <v>Research</v>
      </c>
      <c r="B166" s="26" t="n">
        <f aca="false">Data!D17</f>
        <v>24.5</v>
      </c>
      <c r="C166" s="26" t="n">
        <f aca="false">Data!E17</f>
        <v>9.5</v>
      </c>
      <c r="D166" s="23" t="n">
        <f aca="false">B166-$B$174</f>
        <v>-100.75625</v>
      </c>
      <c r="E166" s="23" t="n">
        <f aca="false">C166-$B$175</f>
        <v>-15.93125</v>
      </c>
      <c r="F166" s="23" t="n">
        <f aca="false">D166*E166</f>
        <v>1605.1730078125</v>
      </c>
      <c r="G166" s="23" t="n">
        <f aca="false">D166^2</f>
        <v>10151.8219140625</v>
      </c>
      <c r="H166" s="23" t="n">
        <f aca="false">E166^2</f>
        <v>253.8047265625</v>
      </c>
      <c r="I166" s="23" t="n">
        <f aca="false">$B$179+$B$180*B166</f>
        <v>3.66993853510602</v>
      </c>
      <c r="J166" s="23" t="n">
        <f aca="false">C166-I166</f>
        <v>5.83006146489398</v>
      </c>
      <c r="K166" s="23" t="n">
        <f aca="false">J166^2</f>
        <v>33.9896166844418</v>
      </c>
    </row>
    <row r="167" customFormat="false" ht="15" hidden="false" customHeight="true" outlineLevel="0" collapsed="false">
      <c r="A167" s="25" t="str">
        <f aca="false">Data!A18</f>
        <v>Research</v>
      </c>
      <c r="B167" s="26" t="n">
        <f aca="false">Data!D18</f>
        <v>27.2</v>
      </c>
      <c r="C167" s="26" t="n">
        <f aca="false">Data!E18</f>
        <v>10.6</v>
      </c>
      <c r="D167" s="23" t="n">
        <f aca="false">B167-$B$174</f>
        <v>-98.05625</v>
      </c>
      <c r="E167" s="23" t="n">
        <f aca="false">C167-$B$175</f>
        <v>-14.83125</v>
      </c>
      <c r="F167" s="23" t="n">
        <f aca="false">D167*E167</f>
        <v>1454.2967578125</v>
      </c>
      <c r="G167" s="23" t="n">
        <f aca="false">D167^2</f>
        <v>9615.0281640625</v>
      </c>
      <c r="H167" s="23" t="n">
        <f aca="false">E167^2</f>
        <v>219.9659765625</v>
      </c>
      <c r="I167" s="23" t="n">
        <f aca="false">$B$179+$B$180*B167</f>
        <v>4.25308390777733</v>
      </c>
      <c r="J167" s="23" t="n">
        <f aca="false">C167-I167</f>
        <v>6.34691609222267</v>
      </c>
      <c r="K167" s="23" t="n">
        <f aca="false">J167^2</f>
        <v>40.2833438817151</v>
      </c>
    </row>
    <row r="168" customFormat="false" ht="15" hidden="false" customHeight="true" outlineLevel="0" collapsed="false">
      <c r="A168" s="25" t="str">
        <f aca="false">Data!A19</f>
        <v>Research</v>
      </c>
      <c r="B168" s="26" t="n">
        <f aca="false">Data!D19</f>
        <v>13.1</v>
      </c>
      <c r="C168" s="26" t="n">
        <f aca="false">Data!E19</f>
        <v>5.1</v>
      </c>
      <c r="D168" s="23" t="n">
        <f aca="false">B168-$B$174</f>
        <v>-112.15625</v>
      </c>
      <c r="E168" s="23" t="n">
        <f aca="false">C168-$B$175</f>
        <v>-20.33125</v>
      </c>
      <c r="F168" s="23" t="n">
        <f aca="false">D168*E168</f>
        <v>2280.2767578125</v>
      </c>
      <c r="G168" s="23" t="n">
        <f aca="false">D168^2</f>
        <v>12579.0244140625</v>
      </c>
      <c r="H168" s="23" t="n">
        <f aca="false">E168^2</f>
        <v>413.3597265625</v>
      </c>
      <c r="I168" s="23" t="n">
        <f aca="false">$B$179+$B$180*B168</f>
        <v>1.20776918382715</v>
      </c>
      <c r="J168" s="23" t="n">
        <f aca="false">C168-I168</f>
        <v>3.89223081617285</v>
      </c>
      <c r="K168" s="23" t="n">
        <f aca="false">J168^2</f>
        <v>15.1494607263656</v>
      </c>
    </row>
    <row r="169" customFormat="false" ht="15" hidden="false" customHeight="true" outlineLevel="0" collapsed="false">
      <c r="A169" s="25" t="str">
        <f aca="false">Data!A20</f>
        <v>Research</v>
      </c>
      <c r="B169" s="26" t="n">
        <f aca="false">Data!D20</f>
        <v>15.1</v>
      </c>
      <c r="C169" s="26" t="n">
        <f aca="false">Data!E20</f>
        <v>6.3</v>
      </c>
      <c r="D169" s="23" t="n">
        <f aca="false">B169-$B$174</f>
        <v>-110.15625</v>
      </c>
      <c r="E169" s="23" t="n">
        <f aca="false">C169-$B$175</f>
        <v>-19.13125</v>
      </c>
      <c r="F169" s="23" t="n">
        <f aca="false">D169*E169</f>
        <v>2107.4267578125</v>
      </c>
      <c r="G169" s="23" t="n">
        <f aca="false">D169^2</f>
        <v>12134.3994140625</v>
      </c>
      <c r="H169" s="23" t="n">
        <f aca="false">E169^2</f>
        <v>366.0047265625</v>
      </c>
      <c r="I169" s="23" t="n">
        <f aca="false">$B$179+$B$180*B169</f>
        <v>1.63972871913923</v>
      </c>
      <c r="J169" s="23" t="n">
        <f aca="false">C169-I169</f>
        <v>4.66027128086077</v>
      </c>
      <c r="K169" s="23" t="n">
        <f aca="false">J169^2</f>
        <v>21.7181284112157</v>
      </c>
    </row>
    <row r="170" customFormat="false" ht="15" hidden="false" customHeight="true" outlineLevel="0" collapsed="false">
      <c r="A170" s="27" t="s">
        <v>62</v>
      </c>
      <c r="F170" s="28" t="n">
        <f aca="false">SUM(F154:F169)</f>
        <v>91418.671875</v>
      </c>
      <c r="G170" s="28" t="n">
        <f aca="false">SUM(G154:G169)</f>
        <v>423274.239375</v>
      </c>
      <c r="H170" s="28" t="n">
        <f aca="false">SUM(H154:H169)</f>
        <v>20162.674375</v>
      </c>
      <c r="K170" s="28" t="n">
        <f aca="false">SUM(K154:K169)</f>
        <v>418.090864013646</v>
      </c>
    </row>
    <row r="172" customFormat="false" ht="15" hidden="false" customHeight="true" outlineLevel="0" collapsed="false">
      <c r="A172" s="20" t="s">
        <v>63</v>
      </c>
    </row>
    <row r="173" customFormat="false" ht="15" hidden="false" customHeight="true" outlineLevel="0" collapsed="false">
      <c r="A173" s="29" t="s">
        <v>64</v>
      </c>
      <c r="B173" s="30" t="n">
        <f aca="false">COUNT(B154:B169)</f>
        <v>16</v>
      </c>
      <c r="C173" s="31" t="s">
        <v>65</v>
      </c>
    </row>
    <row r="174" customFormat="false" ht="15" hidden="false" customHeight="true" outlineLevel="0" collapsed="false">
      <c r="A174" s="29" t="s">
        <v>66</v>
      </c>
      <c r="B174" s="32" t="n">
        <f aca="false">AVERAGE(B154:B169)</f>
        <v>125.25625</v>
      </c>
      <c r="C174" s="31" t="s">
        <v>67</v>
      </c>
    </row>
    <row r="175" customFormat="false" ht="15" hidden="false" customHeight="true" outlineLevel="0" collapsed="false">
      <c r="A175" s="29" t="s">
        <v>68</v>
      </c>
      <c r="B175" s="32" t="n">
        <f aca="false">AVERAGE(C154:C169)</f>
        <v>25.43125</v>
      </c>
      <c r="C175" s="31" t="s">
        <v>69</v>
      </c>
    </row>
    <row r="176" customFormat="false" ht="15" hidden="false" customHeight="true" outlineLevel="0" collapsed="false">
      <c r="A176" s="29" t="s">
        <v>70</v>
      </c>
      <c r="B176" s="32" t="n">
        <f aca="false">G170</f>
        <v>423274.239375</v>
      </c>
      <c r="C176" s="31" t="s">
        <v>71</v>
      </c>
    </row>
    <row r="177" customFormat="false" ht="15" hidden="false" customHeight="true" outlineLevel="0" collapsed="false">
      <c r="A177" s="29" t="s">
        <v>72</v>
      </c>
      <c r="B177" s="32" t="n">
        <f aca="false">F170</f>
        <v>91418.671875</v>
      </c>
      <c r="C177" s="31" t="s">
        <v>73</v>
      </c>
    </row>
    <row r="178" customFormat="false" ht="15" hidden="false" customHeight="true" outlineLevel="0" collapsed="false">
      <c r="A178" s="29" t="s">
        <v>74</v>
      </c>
      <c r="B178" s="32" t="n">
        <f aca="false">H170</f>
        <v>20162.674375</v>
      </c>
      <c r="C178" s="31" t="s">
        <v>75</v>
      </c>
    </row>
    <row r="179" customFormat="false" ht="15" hidden="false" customHeight="true" outlineLevel="0" collapsed="false">
      <c r="A179" s="29" t="s">
        <v>76</v>
      </c>
      <c r="B179" s="33" t="n">
        <f aca="false">B175-B180*B174</f>
        <v>-1.62156577246699</v>
      </c>
      <c r="C179" s="31" t="s">
        <v>77</v>
      </c>
    </row>
    <row r="180" customFormat="false" ht="15" hidden="false" customHeight="true" outlineLevel="0" collapsed="false">
      <c r="A180" s="29" t="s">
        <v>78</v>
      </c>
      <c r="B180" s="34" t="n">
        <f aca="false">B177/B176</f>
        <v>0.215979767656041</v>
      </c>
      <c r="C180" s="31" t="s">
        <v>79</v>
      </c>
    </row>
    <row r="181" customFormat="false" ht="15" hidden="false" customHeight="true" outlineLevel="0" collapsed="false">
      <c r="A181" s="29" t="s">
        <v>80</v>
      </c>
      <c r="B181" s="32" t="n">
        <f aca="false">B178</f>
        <v>20162.674375</v>
      </c>
      <c r="C181" s="31" t="s">
        <v>74</v>
      </c>
    </row>
    <row r="182" customFormat="false" ht="15" hidden="false" customHeight="true" outlineLevel="0" collapsed="false">
      <c r="A182" s="29" t="s">
        <v>81</v>
      </c>
      <c r="B182" s="32" t="n">
        <f aca="false">K170</f>
        <v>418.090864013646</v>
      </c>
      <c r="C182" s="31" t="s">
        <v>82</v>
      </c>
    </row>
    <row r="183" customFormat="false" ht="15" hidden="false" customHeight="true" outlineLevel="0" collapsed="false">
      <c r="A183" s="29" t="s">
        <v>83</v>
      </c>
      <c r="B183" s="35" t="n">
        <f aca="false">1-B182/B181</f>
        <v>0.97926411664258</v>
      </c>
      <c r="C183" s="31" t="s">
        <v>84</v>
      </c>
    </row>
    <row r="184" customFormat="false" ht="15" hidden="false" customHeight="true" outlineLevel="0" collapsed="false">
      <c r="A184" s="29" t="s">
        <v>4</v>
      </c>
      <c r="B184" s="36" t="n">
        <f aca="false">B177/SQRT(B176*B178)</f>
        <v>0.989577746638727</v>
      </c>
      <c r="C184" s="31" t="s">
        <v>85</v>
      </c>
    </row>
    <row r="185" customFormat="false" ht="15" hidden="false" customHeight="true" outlineLevel="0" collapsed="false">
      <c r="A185" s="29" t="s">
        <v>86</v>
      </c>
      <c r="B185" s="33" t="n">
        <f aca="false">SQRT(B182/((B173-2)*B176))</f>
        <v>0.00839963475737642</v>
      </c>
      <c r="C185" s="31" t="s">
        <v>87</v>
      </c>
    </row>
    <row r="186" customFormat="false" ht="15" hidden="false" customHeight="true" outlineLevel="0" collapsed="false">
      <c r="A186" s="29" t="s">
        <v>88</v>
      </c>
      <c r="B186" s="30" t="n">
        <f aca="false">B173-2</f>
        <v>14</v>
      </c>
      <c r="C186" s="31" t="s">
        <v>89</v>
      </c>
    </row>
    <row r="187" customFormat="false" ht="15" hidden="false" customHeight="true" outlineLevel="0" collapsed="false">
      <c r="A187" s="29" t="s">
        <v>90</v>
      </c>
      <c r="B187" s="35" t="n">
        <f aca="false">B180/B185</f>
        <v>25.7129951354577</v>
      </c>
      <c r="C187" s="31" t="s">
        <v>91</v>
      </c>
    </row>
    <row r="188" customFormat="false" ht="15" hidden="false" customHeight="true" outlineLevel="0" collapsed="false">
      <c r="A188" s="29" t="s">
        <v>92</v>
      </c>
      <c r="B188" s="36" t="n">
        <f aca="false">TDIST(ABS(B187),B186,2)</f>
        <v>3.48467345537749E-013</v>
      </c>
      <c r="C188" s="31" t="s">
        <v>93</v>
      </c>
      <c r="D188" s="37" t="str">
        <f aca="false">IF(B188&lt;0.05,"significant at 5%",IF(B188&lt;0.1,"significant at 10%","NOT significant at 10%"))</f>
        <v>significant at 5%</v>
      </c>
    </row>
    <row r="189" customFormat="false" ht="15" hidden="false" customHeight="true" outlineLevel="0" collapsed="false">
      <c r="A189" s="29" t="s">
        <v>94</v>
      </c>
      <c r="B189" s="35" t="n">
        <f aca="false">TINV(0.05,B186)</f>
        <v>2.1447866879178</v>
      </c>
      <c r="C189" s="31" t="s">
        <v>95</v>
      </c>
    </row>
    <row r="190" customFormat="false" ht="15" hidden="false" customHeight="true" outlineLevel="0" collapsed="false">
      <c r="A190" s="29" t="s">
        <v>96</v>
      </c>
      <c r="B190" s="38" t="n">
        <f aca="false">B180-B189*B185</f>
        <v>0.197964342845048</v>
      </c>
      <c r="C190" s="31" t="s">
        <v>97</v>
      </c>
    </row>
    <row r="191" customFormat="false" ht="15" hidden="false" customHeight="true" outlineLevel="0" collapsed="false">
      <c r="A191" s="29" t="s">
        <v>98</v>
      </c>
      <c r="B191" s="38" t="n">
        <f aca="false">B180+B189*B185</f>
        <v>0.233995192467034</v>
      </c>
      <c r="C191" s="31" t="s">
        <v>99</v>
      </c>
    </row>
    <row r="193" customFormat="false" ht="15" hidden="false" customHeight="true" outlineLevel="0" collapsed="false">
      <c r="A193" s="39" t="s">
        <v>100</v>
      </c>
    </row>
    <row r="194" customFormat="false" ht="15" hidden="false" customHeight="true" outlineLevel="0" collapsed="false">
      <c r="A194" s="40" t="s">
        <v>101</v>
      </c>
      <c r="B194" s="41" t="n">
        <f aca="false">CORREL(C154:C169,B154:B169)</f>
        <v>0.989577746638727</v>
      </c>
    </row>
    <row r="195" customFormat="false" ht="15" hidden="false" customHeight="true" outlineLevel="0" collapsed="false">
      <c r="A195" s="40" t="s">
        <v>102</v>
      </c>
      <c r="B195" s="41" t="n">
        <f aca="false">SLOPE(C154:C169,B154:B169)</f>
        <v>0.215979767656041</v>
      </c>
    </row>
    <row r="196" customFormat="false" ht="15" hidden="false" customHeight="true" outlineLevel="0" collapsed="false">
      <c r="A196" s="40" t="s">
        <v>103</v>
      </c>
      <c r="B196" s="41" t="n">
        <f aca="false">INTERCEPT(C154:C169,B154:B169)</f>
        <v>-1.62156577246699</v>
      </c>
    </row>
    <row r="197" customFormat="false" ht="15" hidden="false" customHeight="true" outlineLevel="0" collapsed="false">
      <c r="A197" s="40" t="s">
        <v>104</v>
      </c>
      <c r="B197" s="41" t="n">
        <f aca="false">RSQ(C154:C169,B154:B169)</f>
        <v>0.97926411664258</v>
      </c>
    </row>
    <row r="198" customFormat="false" ht="15" hidden="false" customHeight="true" outlineLevel="0" collapsed="false">
      <c r="A198" s="40" t="s">
        <v>105</v>
      </c>
      <c r="B198" s="41" t="n">
        <f aca="false">STEYX(C154:C169,B154:B169)/SQRT(B176)</f>
        <v>0.00839963475737642</v>
      </c>
    </row>
    <row r="201" customFormat="false" ht="15" hidden="false" customHeight="true" outlineLevel="0" collapsed="false">
      <c r="A201" s="20" t="s">
        <v>110</v>
      </c>
    </row>
    <row r="202" customFormat="false" ht="18.75" hidden="false" customHeight="true" outlineLevel="0" collapsed="false">
      <c r="A202" s="24" t="s">
        <v>36</v>
      </c>
      <c r="B202" s="24" t="s">
        <v>48</v>
      </c>
      <c r="C202" s="24" t="s">
        <v>111</v>
      </c>
      <c r="D202" s="24" t="s">
        <v>54</v>
      </c>
      <c r="E202" s="24" t="s">
        <v>55</v>
      </c>
      <c r="F202" s="24" t="s">
        <v>56</v>
      </c>
      <c r="G202" s="24" t="s">
        <v>57</v>
      </c>
      <c r="H202" s="24" t="s">
        <v>58</v>
      </c>
      <c r="I202" s="24" t="s">
        <v>59</v>
      </c>
      <c r="J202" s="24" t="s">
        <v>60</v>
      </c>
      <c r="K202" s="24" t="s">
        <v>61</v>
      </c>
    </row>
    <row r="203" customFormat="false" ht="15" hidden="false" customHeight="true" outlineLevel="0" collapsed="false">
      <c r="A203" s="25" t="str">
        <f aca="false">Data!A25</f>
        <v>Broking</v>
      </c>
      <c r="B203" s="26" t="n">
        <f aca="false">Data!B25</f>
        <v>384.45</v>
      </c>
      <c r="C203" s="42" t="n">
        <f aca="false">Data!C25</f>
        <v>0.206461140136039</v>
      </c>
      <c r="D203" s="23" t="n">
        <f aca="false">B203-$B$211</f>
        <v>259.19375</v>
      </c>
      <c r="E203" s="19" t="n">
        <f aca="false">C203-$B$212</f>
        <v>-0.0113984401921405</v>
      </c>
      <c r="F203" s="23" t="n">
        <f aca="false">D203*E203</f>
        <v>-2.95440445755162</v>
      </c>
      <c r="G203" s="23" t="n">
        <f aca="false">D203^2</f>
        <v>67181.4000390625</v>
      </c>
      <c r="H203" s="43" t="n">
        <f aca="false">E203^2</f>
        <v>0.000129924438813804</v>
      </c>
      <c r="I203" s="19" t="n">
        <f aca="false">$B$216+$B$217*B203</f>
        <v>0.191371688826263</v>
      </c>
      <c r="J203" s="19" t="n">
        <f aca="false">C203-I203</f>
        <v>0.0150894513097762</v>
      </c>
      <c r="K203" s="43" t="n">
        <f aca="false">J203^2</f>
        <v>0.000227691540830108</v>
      </c>
    </row>
    <row r="204" customFormat="false" ht="15" hidden="false" customHeight="true" outlineLevel="0" collapsed="false">
      <c r="A204" s="25" t="str">
        <f aca="false">Data!A26</f>
        <v>Financial</v>
      </c>
      <c r="B204" s="26" t="n">
        <f aca="false">Data!B26</f>
        <v>44.925</v>
      </c>
      <c r="C204" s="42" t="n">
        <f aca="false">Data!C26</f>
        <v>0.183915144099626</v>
      </c>
      <c r="D204" s="23" t="n">
        <f aca="false">B204-$B$211</f>
        <v>-80.33125</v>
      </c>
      <c r="E204" s="19" t="n">
        <f aca="false">C204-$B$212</f>
        <v>-0.0339444362285538</v>
      </c>
      <c r="F204" s="23" t="n">
        <f aca="false">D204*E204</f>
        <v>2.72679899278501</v>
      </c>
      <c r="G204" s="23" t="n">
        <f aca="false">D204^2</f>
        <v>6453.1097265625</v>
      </c>
      <c r="H204" s="43" t="n">
        <f aca="false">E204^2</f>
        <v>0.00115222475087435</v>
      </c>
      <c r="I204" s="19" t="n">
        <f aca="false">$B$216+$B$217*B204</f>
        <v>0.226068904180368</v>
      </c>
      <c r="J204" s="19" t="n">
        <f aca="false">C204-I204</f>
        <v>-0.0421537600807429</v>
      </c>
      <c r="K204" s="43" t="n">
        <f aca="false">J204^2</f>
        <v>0.00177693948894483</v>
      </c>
    </row>
    <row r="205" customFormat="false" ht="15" hidden="false" customHeight="true" outlineLevel="0" collapsed="false">
      <c r="A205" s="25" t="str">
        <f aca="false">Data!A27</f>
        <v>Support</v>
      </c>
      <c r="B205" s="26" t="n">
        <f aca="false">Data!B27</f>
        <v>51.675</v>
      </c>
      <c r="C205" s="42" t="n">
        <f aca="false">Data!C27</f>
        <v>0.0850639109422149</v>
      </c>
      <c r="D205" s="23" t="n">
        <f aca="false">B205-$B$211</f>
        <v>-73.58125</v>
      </c>
      <c r="E205" s="19" t="n">
        <f aca="false">C205-$B$212</f>
        <v>-0.132795669385964</v>
      </c>
      <c r="F205" s="23" t="n">
        <f aca="false">D205*E205</f>
        <v>9.77127134800599</v>
      </c>
      <c r="G205" s="23" t="n">
        <f aca="false">D205^2</f>
        <v>5414.2003515625</v>
      </c>
      <c r="H205" s="43" t="n">
        <f aca="false">E205^2</f>
        <v>0.0176346898076664</v>
      </c>
      <c r="I205" s="19" t="n">
        <f aca="false">$B$216+$B$217*B205</f>
        <v>0.225379098706132</v>
      </c>
      <c r="J205" s="19" t="n">
        <f aca="false">C205-I205</f>
        <v>-0.140315187763917</v>
      </c>
      <c r="K205" s="43" t="n">
        <f aca="false">J205^2</f>
        <v>0.0196883519172232</v>
      </c>
    </row>
    <row r="206" customFormat="false" ht="15" hidden="false" customHeight="true" outlineLevel="0" collapsed="false">
      <c r="A206" s="25" t="str">
        <f aca="false">Data!A28</f>
        <v>Research</v>
      </c>
      <c r="B206" s="26" t="n">
        <f aca="false">Data!B28</f>
        <v>19.975</v>
      </c>
      <c r="C206" s="42" t="n">
        <f aca="false">Data!C28</f>
        <v>0.395998126134838</v>
      </c>
      <c r="D206" s="23" t="n">
        <f aca="false">B206-$B$211</f>
        <v>-105.28125</v>
      </c>
      <c r="E206" s="19" t="n">
        <f aca="false">C206-$B$212</f>
        <v>0.178138545806659</v>
      </c>
      <c r="F206" s="23" t="n">
        <f aca="false">D206*E206</f>
        <v>-18.7546487757073</v>
      </c>
      <c r="G206" s="23" t="n">
        <f aca="false">D206^2</f>
        <v>11084.1416015625</v>
      </c>
      <c r="H206" s="43" t="n">
        <f aca="false">E206^2</f>
        <v>0.031733341502111</v>
      </c>
      <c r="I206" s="19" t="n">
        <f aca="false">$B$216+$B$217*B206</f>
        <v>0.228618629599954</v>
      </c>
      <c r="J206" s="19" t="n">
        <f aca="false">C206-I206</f>
        <v>0.167379496534884</v>
      </c>
      <c r="K206" s="43" t="n">
        <f aca="false">J206^2</f>
        <v>0.0280158958602711</v>
      </c>
    </row>
    <row r="207" customFormat="false" ht="15" hidden="false" customHeight="true" outlineLevel="0" collapsed="false">
      <c r="A207" s="27" t="s">
        <v>62</v>
      </c>
      <c r="F207" s="28" t="n">
        <f aca="false">SUM(F203:F206)</f>
        <v>-9.2109828924679</v>
      </c>
      <c r="G207" s="28" t="n">
        <f aca="false">SUM(G203:G206)</f>
        <v>90132.85171875</v>
      </c>
      <c r="H207" s="28" t="n">
        <f aca="false">SUM(H203:H206)</f>
        <v>0.0506501804994655</v>
      </c>
      <c r="K207" s="28" t="n">
        <f aca="false">SUM(K203:K206)</f>
        <v>0.0497088788072693</v>
      </c>
    </row>
    <row r="209" customFormat="false" ht="15" hidden="false" customHeight="true" outlineLevel="0" collapsed="false">
      <c r="A209" s="20" t="s">
        <v>63</v>
      </c>
    </row>
    <row r="210" customFormat="false" ht="15" hidden="false" customHeight="true" outlineLevel="0" collapsed="false">
      <c r="A210" s="29" t="s">
        <v>64</v>
      </c>
      <c r="B210" s="30" t="n">
        <f aca="false">COUNT(B203:B206)</f>
        <v>4</v>
      </c>
      <c r="C210" s="31" t="s">
        <v>65</v>
      </c>
    </row>
    <row r="211" customFormat="false" ht="15" hidden="false" customHeight="true" outlineLevel="0" collapsed="false">
      <c r="A211" s="29" t="s">
        <v>66</v>
      </c>
      <c r="B211" s="32" t="n">
        <f aca="false">AVERAGE(B203:B206)</f>
        <v>125.25625</v>
      </c>
      <c r="C211" s="31" t="s">
        <v>67</v>
      </c>
    </row>
    <row r="212" customFormat="false" ht="15" hidden="false" customHeight="true" outlineLevel="0" collapsed="false">
      <c r="A212" s="29" t="s">
        <v>68</v>
      </c>
      <c r="B212" s="44" t="n">
        <f aca="false">AVERAGE(C203:C206)</f>
        <v>0.217859580328179</v>
      </c>
      <c r="C212" s="31" t="s">
        <v>69</v>
      </c>
    </row>
    <row r="213" customFormat="false" ht="15" hidden="false" customHeight="true" outlineLevel="0" collapsed="false">
      <c r="A213" s="29" t="s">
        <v>70</v>
      </c>
      <c r="B213" s="32" t="n">
        <f aca="false">G207</f>
        <v>90132.85171875</v>
      </c>
      <c r="C213" s="31" t="s">
        <v>71</v>
      </c>
    </row>
    <row r="214" customFormat="false" ht="15" hidden="false" customHeight="true" outlineLevel="0" collapsed="false">
      <c r="A214" s="29" t="s">
        <v>72</v>
      </c>
      <c r="B214" s="32" t="n">
        <f aca="false">F207</f>
        <v>-9.2109828924679</v>
      </c>
      <c r="C214" s="31" t="s">
        <v>73</v>
      </c>
    </row>
    <row r="215" customFormat="false" ht="15" hidden="false" customHeight="true" outlineLevel="0" collapsed="false">
      <c r="A215" s="29" t="s">
        <v>74</v>
      </c>
      <c r="B215" s="44" t="n">
        <f aca="false">H207</f>
        <v>0.0506501804994655</v>
      </c>
      <c r="C215" s="31" t="s">
        <v>75</v>
      </c>
    </row>
    <row r="216" customFormat="false" ht="15" hidden="false" customHeight="true" outlineLevel="0" collapsed="false">
      <c r="A216" s="29" t="s">
        <v>76</v>
      </c>
      <c r="B216" s="44" t="n">
        <f aca="false">B212-B217*B211</f>
        <v>0.230659942836677</v>
      </c>
      <c r="C216" s="31" t="s">
        <v>77</v>
      </c>
    </row>
    <row r="217" customFormat="false" ht="15" hidden="false" customHeight="true" outlineLevel="0" collapsed="false">
      <c r="A217" s="29" t="s">
        <v>78</v>
      </c>
      <c r="B217" s="34" t="n">
        <f aca="false">B214/B213</f>
        <v>-0.000102193403590622</v>
      </c>
      <c r="C217" s="31" t="s">
        <v>79</v>
      </c>
    </row>
    <row r="218" customFormat="false" ht="15" hidden="false" customHeight="true" outlineLevel="0" collapsed="false">
      <c r="A218" s="29" t="s">
        <v>80</v>
      </c>
      <c r="B218" s="44" t="n">
        <f aca="false">B215</f>
        <v>0.0506501804994655</v>
      </c>
      <c r="C218" s="31" t="s">
        <v>74</v>
      </c>
    </row>
    <row r="219" customFormat="false" ht="15" hidden="false" customHeight="true" outlineLevel="0" collapsed="false">
      <c r="A219" s="29" t="s">
        <v>81</v>
      </c>
      <c r="B219" s="44" t="n">
        <f aca="false">K207</f>
        <v>0.0497088788072693</v>
      </c>
      <c r="C219" s="31" t="s">
        <v>82</v>
      </c>
    </row>
    <row r="220" customFormat="false" ht="15" hidden="false" customHeight="true" outlineLevel="0" collapsed="false">
      <c r="A220" s="29" t="s">
        <v>83</v>
      </c>
      <c r="B220" s="35" t="n">
        <f aca="false">1-B219/B218</f>
        <v>0.0185843699452604</v>
      </c>
      <c r="C220" s="31" t="s">
        <v>84</v>
      </c>
    </row>
    <row r="221" customFormat="false" ht="15" hidden="false" customHeight="true" outlineLevel="0" collapsed="false">
      <c r="A221" s="29" t="s">
        <v>4</v>
      </c>
      <c r="B221" s="36" t="n">
        <f aca="false">B214/SQRT(B213*B215)</f>
        <v>-0.136324502365717</v>
      </c>
      <c r="C221" s="31" t="s">
        <v>85</v>
      </c>
    </row>
    <row r="222" customFormat="false" ht="15" hidden="false" customHeight="true" outlineLevel="0" collapsed="false">
      <c r="A222" s="29" t="s">
        <v>86</v>
      </c>
      <c r="B222" s="33" t="n">
        <f aca="false">SQRT(B219/((B210-2)*B213))</f>
        <v>0.000525122261867907</v>
      </c>
      <c r="C222" s="31" t="s">
        <v>87</v>
      </c>
    </row>
    <row r="223" customFormat="false" ht="15" hidden="false" customHeight="true" outlineLevel="0" collapsed="false">
      <c r="A223" s="29" t="s">
        <v>88</v>
      </c>
      <c r="B223" s="30" t="n">
        <f aca="false">B210-2</f>
        <v>2</v>
      </c>
      <c r="C223" s="31" t="s">
        <v>89</v>
      </c>
    </row>
    <row r="224" customFormat="false" ht="15" hidden="false" customHeight="true" outlineLevel="0" collapsed="false">
      <c r="A224" s="29" t="s">
        <v>90</v>
      </c>
      <c r="B224" s="35" t="n">
        <f aca="false">B217/B222</f>
        <v>-0.194608781633273</v>
      </c>
      <c r="C224" s="31" t="s">
        <v>91</v>
      </c>
    </row>
    <row r="225" customFormat="false" ht="15" hidden="false" customHeight="true" outlineLevel="0" collapsed="false">
      <c r="A225" s="29" t="s">
        <v>92</v>
      </c>
      <c r="B225" s="36" t="n">
        <f aca="false">TDIST(ABS(B224),B223,2)</f>
        <v>0.863675497634283</v>
      </c>
      <c r="C225" s="31" t="s">
        <v>93</v>
      </c>
      <c r="D225" s="37" t="str">
        <f aca="false">IF(B225&lt;0.05,"significant at 5%",IF(B225&lt;0.1,"significant at 10%","NOT significant at 10%"))</f>
        <v>NOT significant at 10%</v>
      </c>
    </row>
    <row r="226" customFormat="false" ht="15" hidden="false" customHeight="true" outlineLevel="0" collapsed="false">
      <c r="A226" s="29" t="s">
        <v>94</v>
      </c>
      <c r="B226" s="35" t="n">
        <f aca="false">TINV(0.05,B223)</f>
        <v>4.30265272974946</v>
      </c>
      <c r="C226" s="31" t="s">
        <v>95</v>
      </c>
    </row>
    <row r="227" customFormat="false" ht="15" hidden="false" customHeight="true" outlineLevel="0" collapsed="false">
      <c r="A227" s="29" t="s">
        <v>96</v>
      </c>
      <c r="B227" s="38" t="n">
        <f aca="false">B217-B226*B222</f>
        <v>-0.00236161213706879</v>
      </c>
      <c r="C227" s="31" t="s">
        <v>97</v>
      </c>
    </row>
    <row r="228" customFormat="false" ht="15" hidden="false" customHeight="true" outlineLevel="0" collapsed="false">
      <c r="A228" s="29" t="s">
        <v>98</v>
      </c>
      <c r="B228" s="38" t="n">
        <f aca="false">B217+B226*B222</f>
        <v>0.00215722532988754</v>
      </c>
      <c r="C228" s="31" t="s">
        <v>99</v>
      </c>
    </row>
    <row r="230" customFormat="false" ht="15" hidden="false" customHeight="true" outlineLevel="0" collapsed="false">
      <c r="A230" s="39" t="s">
        <v>100</v>
      </c>
    </row>
    <row r="231" customFormat="false" ht="15" hidden="false" customHeight="true" outlineLevel="0" collapsed="false">
      <c r="A231" s="40" t="s">
        <v>101</v>
      </c>
      <c r="B231" s="41" t="n">
        <f aca="false">CORREL(C203:C206,B203:B206)</f>
        <v>-0.136324502365717</v>
      </c>
    </row>
    <row r="232" customFormat="false" ht="15" hidden="false" customHeight="true" outlineLevel="0" collapsed="false">
      <c r="A232" s="40" t="s">
        <v>102</v>
      </c>
      <c r="B232" s="41" t="n">
        <f aca="false">SLOPE(C203:C206,B203:B206)</f>
        <v>-0.000102193403590622</v>
      </c>
    </row>
    <row r="233" customFormat="false" ht="15" hidden="false" customHeight="true" outlineLevel="0" collapsed="false">
      <c r="A233" s="40" t="s">
        <v>103</v>
      </c>
      <c r="B233" s="41" t="n">
        <f aca="false">INTERCEPT(C203:C206,B203:B206)</f>
        <v>0.230659942836677</v>
      </c>
    </row>
    <row r="234" customFormat="false" ht="15" hidden="false" customHeight="true" outlineLevel="0" collapsed="false">
      <c r="A234" s="40" t="s">
        <v>104</v>
      </c>
      <c r="B234" s="41" t="n">
        <f aca="false">RSQ(C203:C206,B203:B206)</f>
        <v>0.0185843699452605</v>
      </c>
    </row>
    <row r="235" customFormat="false" ht="15" hidden="false" customHeight="true" outlineLevel="0" collapsed="false">
      <c r="A235" s="40" t="s">
        <v>105</v>
      </c>
      <c r="B235" s="41" t="n">
        <f aca="false">STEYX(C203:C206,B203:B206)/SQRT(B213)</f>
        <v>0.000525122261867907</v>
      </c>
    </row>
  </sheetData>
  <mergeCells count="1">
    <mergeCell ref="A2:K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2026-09-25T11:18:41Z</dcterms:created>
  <dc:creator>openpyxl</dc:creator>
  <dc:description/>
  <dc:language>en-US</dc:language>
  <cp:lastModifiedBy/>
  <dcterms:modified xsi:type="dcterms:W3CDTF">2026-09-25T11:19:18Z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